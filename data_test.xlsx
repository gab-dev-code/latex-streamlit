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1B454058-F78F-4788-9F35-55C1AE65EC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Isc_cell_BC">[1]T1!$E$27</definedName>
    <definedName name="Isccell">[1]T1!$E$15</definedName>
    <definedName name="kB">[1]T1!$D$61</definedName>
    <definedName name="modulenr">Sheet2!$C$1</definedName>
    <definedName name="q">[1]T1!$D$62</definedName>
    <definedName name="shingling">[1]T1!$B$57</definedName>
    <definedName name="Vg0">[1]T1!$D$64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1" i="2" l="1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L147" i="2"/>
  <c r="K147" i="2"/>
  <c r="J147" i="2"/>
  <c r="I147" i="2"/>
  <c r="H147" i="2"/>
  <c r="K146" i="2"/>
  <c r="J146" i="2"/>
  <c r="H146" i="2"/>
  <c r="G146" i="2"/>
  <c r="D146" i="2"/>
  <c r="L145" i="2"/>
  <c r="K145" i="2"/>
  <c r="J145" i="2"/>
  <c r="I145" i="2"/>
  <c r="H145" i="2"/>
  <c r="G145" i="2"/>
  <c r="F145" i="2"/>
  <c r="E145" i="2"/>
  <c r="D145" i="2"/>
  <c r="C145" i="2"/>
  <c r="J144" i="2"/>
  <c r="G144" i="2"/>
  <c r="F144" i="2"/>
  <c r="J143" i="2"/>
  <c r="I143" i="2"/>
  <c r="H143" i="2"/>
  <c r="G143" i="2"/>
  <c r="F143" i="2"/>
  <c r="E143" i="2"/>
  <c r="D143" i="2"/>
  <c r="L142" i="2"/>
  <c r="J142" i="2"/>
  <c r="I142" i="2"/>
  <c r="H142" i="2"/>
  <c r="G142" i="2"/>
  <c r="F142" i="2"/>
  <c r="D142" i="2"/>
  <c r="J141" i="2"/>
  <c r="I141" i="2"/>
  <c r="H141" i="2"/>
  <c r="F141" i="2"/>
  <c r="K140" i="2"/>
  <c r="J140" i="2"/>
  <c r="I140" i="2"/>
  <c r="H140" i="2"/>
  <c r="G140" i="2"/>
  <c r="F140" i="2"/>
  <c r="E140" i="2"/>
  <c r="D140" i="2"/>
  <c r="C140" i="2"/>
  <c r="L139" i="2"/>
  <c r="J139" i="2"/>
  <c r="D139" i="2"/>
  <c r="L138" i="2"/>
  <c r="K138" i="2"/>
  <c r="J138" i="2"/>
  <c r="I138" i="2"/>
  <c r="H138" i="2"/>
  <c r="G138" i="2"/>
  <c r="F138" i="2"/>
  <c r="L137" i="2"/>
  <c r="K137" i="2"/>
  <c r="I137" i="2"/>
  <c r="H137" i="2"/>
  <c r="G137" i="2"/>
  <c r="F137" i="2"/>
  <c r="E137" i="2"/>
  <c r="D137" i="2"/>
  <c r="K136" i="2"/>
  <c r="G136" i="2"/>
  <c r="F136" i="2"/>
  <c r="E136" i="2"/>
  <c r="C136" i="2"/>
  <c r="K135" i="2"/>
  <c r="J135" i="2"/>
  <c r="I135" i="2"/>
  <c r="H135" i="2"/>
  <c r="G135" i="2"/>
  <c r="C135" i="2"/>
  <c r="L134" i="2"/>
  <c r="K134" i="2"/>
  <c r="J134" i="2"/>
  <c r="H134" i="2"/>
  <c r="D134" i="2"/>
  <c r="K133" i="2"/>
  <c r="J133" i="2"/>
  <c r="I133" i="2"/>
  <c r="H133" i="2"/>
  <c r="G133" i="2"/>
  <c r="F133" i="2"/>
  <c r="E133" i="2"/>
  <c r="D133" i="2"/>
  <c r="C133" i="2"/>
  <c r="K132" i="2"/>
  <c r="I132" i="2"/>
  <c r="H132" i="2"/>
  <c r="C132" i="2"/>
  <c r="L131" i="2"/>
  <c r="J131" i="2"/>
  <c r="H131" i="2"/>
  <c r="E131" i="2"/>
  <c r="D131" i="2"/>
  <c r="C131" i="2"/>
  <c r="L130" i="2"/>
  <c r="J130" i="2"/>
  <c r="I130" i="2"/>
  <c r="H130" i="2"/>
  <c r="G130" i="2"/>
  <c r="F130" i="2"/>
  <c r="E130" i="2"/>
  <c r="D130" i="2"/>
  <c r="C130" i="2"/>
  <c r="L129" i="2"/>
  <c r="J129" i="2"/>
  <c r="H129" i="2"/>
  <c r="I128" i="2"/>
  <c r="H128" i="2"/>
  <c r="G128" i="2"/>
  <c r="F128" i="2"/>
  <c r="E128" i="2"/>
  <c r="D128" i="2"/>
  <c r="C128" i="2"/>
  <c r="L127" i="2"/>
  <c r="K127" i="2"/>
  <c r="J127" i="2"/>
  <c r="H127" i="2"/>
  <c r="F127" i="2"/>
  <c r="E127" i="2"/>
  <c r="D127" i="2"/>
  <c r="L126" i="2"/>
  <c r="K126" i="2"/>
  <c r="J126" i="2"/>
  <c r="I126" i="2"/>
  <c r="H126" i="2"/>
  <c r="K125" i="2"/>
  <c r="I125" i="2"/>
  <c r="G125" i="2"/>
  <c r="F125" i="2"/>
  <c r="E125" i="2"/>
  <c r="D125" i="2"/>
  <c r="L124" i="2"/>
  <c r="K124" i="2"/>
  <c r="J124" i="2"/>
  <c r="H124" i="2"/>
  <c r="G124" i="2"/>
  <c r="F124" i="2"/>
  <c r="D124" i="2"/>
  <c r="C124" i="2"/>
  <c r="L123" i="2"/>
  <c r="J123" i="2"/>
  <c r="G123" i="2"/>
  <c r="F123" i="2"/>
  <c r="L122" i="2"/>
  <c r="K122" i="2"/>
  <c r="J122" i="2"/>
  <c r="H122" i="2"/>
  <c r="F122" i="2"/>
  <c r="C122" i="2"/>
  <c r="L121" i="2"/>
  <c r="K121" i="2"/>
  <c r="J121" i="2"/>
  <c r="I121" i="2"/>
  <c r="H121" i="2"/>
  <c r="G121" i="2"/>
  <c r="F121" i="2"/>
  <c r="D121" i="2"/>
  <c r="K120" i="2"/>
  <c r="I120" i="2"/>
  <c r="H120" i="2"/>
  <c r="G120" i="2"/>
  <c r="L119" i="2"/>
  <c r="J119" i="2"/>
  <c r="I119" i="2"/>
  <c r="H119" i="2"/>
  <c r="G119" i="2"/>
  <c r="F119" i="2"/>
  <c r="E119" i="2"/>
  <c r="C119" i="2"/>
  <c r="K118" i="2"/>
  <c r="J118" i="2"/>
  <c r="H118" i="2"/>
  <c r="F118" i="2"/>
  <c r="E118" i="2"/>
  <c r="D118" i="2"/>
  <c r="C118" i="2"/>
  <c r="L117" i="2"/>
  <c r="J117" i="2"/>
  <c r="I117" i="2"/>
  <c r="C117" i="2"/>
  <c r="L116" i="2"/>
  <c r="K116" i="2"/>
  <c r="J116" i="2"/>
  <c r="I116" i="2"/>
  <c r="H116" i="2"/>
  <c r="G116" i="2"/>
  <c r="F116" i="2"/>
  <c r="E116" i="2"/>
  <c r="D116" i="2"/>
  <c r="J115" i="2"/>
  <c r="H115" i="2"/>
  <c r="F115" i="2"/>
  <c r="E115" i="2"/>
  <c r="D115" i="2"/>
  <c r="C115" i="2"/>
  <c r="L114" i="2"/>
  <c r="K114" i="2"/>
  <c r="J114" i="2"/>
  <c r="F114" i="2"/>
  <c r="E114" i="2"/>
  <c r="C114" i="2"/>
  <c r="L113" i="2"/>
  <c r="K113" i="2"/>
  <c r="J113" i="2"/>
  <c r="I113" i="2"/>
  <c r="G113" i="2"/>
  <c r="E113" i="2"/>
  <c r="D113" i="2"/>
  <c r="L112" i="2"/>
  <c r="K112" i="2"/>
  <c r="I112" i="2"/>
  <c r="G112" i="2"/>
  <c r="F112" i="2"/>
  <c r="E112" i="2"/>
  <c r="D112" i="2"/>
  <c r="C112" i="2"/>
  <c r="I111" i="2"/>
  <c r="H111" i="2"/>
  <c r="G111" i="2"/>
  <c r="F111" i="2"/>
  <c r="E111" i="2"/>
  <c r="L110" i="2"/>
  <c r="J110" i="2"/>
  <c r="H110" i="2"/>
  <c r="G110" i="2"/>
  <c r="F110" i="2"/>
  <c r="E110" i="2"/>
  <c r="D110" i="2"/>
  <c r="C110" i="2"/>
  <c r="L109" i="2"/>
  <c r="K109" i="2"/>
  <c r="I109" i="2"/>
  <c r="G109" i="2"/>
  <c r="F109" i="2"/>
  <c r="L108" i="2"/>
  <c r="K108" i="2"/>
  <c r="J108" i="2"/>
  <c r="I108" i="2"/>
  <c r="G108" i="2"/>
  <c r="D108" i="2"/>
  <c r="C108" i="2"/>
  <c r="L107" i="2"/>
  <c r="J107" i="2"/>
  <c r="I107" i="2"/>
  <c r="H107" i="2"/>
  <c r="G107" i="2"/>
  <c r="F107" i="2"/>
  <c r="E107" i="2"/>
  <c r="D107" i="2"/>
  <c r="C107" i="2"/>
  <c r="L106" i="2"/>
  <c r="K106" i="2"/>
  <c r="I106" i="2"/>
  <c r="D106" i="2"/>
  <c r="L105" i="2"/>
  <c r="I105" i="2"/>
  <c r="H105" i="2"/>
  <c r="G105" i="2"/>
  <c r="F105" i="2"/>
  <c r="E105" i="2"/>
  <c r="D105" i="2"/>
  <c r="C105" i="2"/>
  <c r="L104" i="2"/>
  <c r="J104" i="2"/>
  <c r="I104" i="2"/>
  <c r="H104" i="2"/>
  <c r="G104" i="2"/>
  <c r="F104" i="2"/>
  <c r="E104" i="2"/>
  <c r="D104" i="2"/>
  <c r="C104" i="2"/>
  <c r="L103" i="2"/>
  <c r="F103" i="2"/>
  <c r="C103" i="2"/>
  <c r="K102" i="2"/>
  <c r="J102" i="2"/>
  <c r="I102" i="2"/>
  <c r="H102" i="2"/>
  <c r="G102" i="2"/>
  <c r="F102" i="2"/>
  <c r="E102" i="2"/>
  <c r="D102" i="2"/>
  <c r="C102" i="2"/>
  <c r="L101" i="2"/>
  <c r="J101" i="2"/>
  <c r="I101" i="2"/>
  <c r="H101" i="2"/>
  <c r="G101" i="2"/>
  <c r="F101" i="2"/>
  <c r="E101" i="2"/>
  <c r="H100" i="2"/>
  <c r="G100" i="2"/>
  <c r="F100" i="2"/>
  <c r="E100" i="2"/>
  <c r="C100" i="2"/>
  <c r="K99" i="2"/>
  <c r="J99" i="2"/>
  <c r="I99" i="2"/>
  <c r="H99" i="2"/>
  <c r="G99" i="2"/>
  <c r="F99" i="2"/>
  <c r="E99" i="2"/>
  <c r="D99" i="2"/>
  <c r="C99" i="2"/>
  <c r="L98" i="2"/>
  <c r="J98" i="2"/>
  <c r="H98" i="2"/>
  <c r="F98" i="2"/>
  <c r="K97" i="2"/>
  <c r="J97" i="2"/>
  <c r="I97" i="2"/>
  <c r="H97" i="2"/>
  <c r="G97" i="2"/>
  <c r="F97" i="2"/>
  <c r="E97" i="2"/>
  <c r="C97" i="2"/>
  <c r="K96" i="2"/>
  <c r="J96" i="2"/>
  <c r="I96" i="2"/>
  <c r="H96" i="2"/>
  <c r="G96" i="2"/>
  <c r="F96" i="2"/>
  <c r="D96" i="2"/>
  <c r="C96" i="2"/>
  <c r="K95" i="2"/>
  <c r="J95" i="2"/>
  <c r="E95" i="2"/>
  <c r="D95" i="2"/>
  <c r="C95" i="2"/>
  <c r="L94" i="2"/>
  <c r="K94" i="2"/>
  <c r="J94" i="2"/>
  <c r="I94" i="2"/>
  <c r="H94" i="2"/>
  <c r="G94" i="2"/>
  <c r="F94" i="2"/>
  <c r="D94" i="2"/>
  <c r="L93" i="2"/>
  <c r="J93" i="2"/>
  <c r="I93" i="2"/>
  <c r="H93" i="2"/>
  <c r="F93" i="2"/>
  <c r="E93" i="2"/>
  <c r="D93" i="2"/>
  <c r="C93" i="2"/>
  <c r="I92" i="2"/>
  <c r="H92" i="2"/>
  <c r="F92" i="2"/>
  <c r="E92" i="2"/>
  <c r="D92" i="2"/>
  <c r="C92" i="2"/>
  <c r="L91" i="2"/>
  <c r="K91" i="2"/>
  <c r="J91" i="2"/>
  <c r="I91" i="2"/>
  <c r="H91" i="2"/>
  <c r="F91" i="2"/>
  <c r="D91" i="2"/>
  <c r="K90" i="2"/>
  <c r="J90" i="2"/>
  <c r="I90" i="2"/>
  <c r="H90" i="2"/>
  <c r="G90" i="2"/>
  <c r="C90" i="2"/>
  <c r="L89" i="2"/>
  <c r="K89" i="2"/>
  <c r="J89" i="2"/>
  <c r="I89" i="2"/>
  <c r="G89" i="2"/>
  <c r="F89" i="2"/>
  <c r="E89" i="2"/>
  <c r="D89" i="2"/>
  <c r="L88" i="2"/>
  <c r="K88" i="2"/>
  <c r="J88" i="2"/>
  <c r="I88" i="2"/>
  <c r="H88" i="2"/>
  <c r="F88" i="2"/>
  <c r="D88" i="2"/>
  <c r="L87" i="2"/>
  <c r="K87" i="2"/>
  <c r="G87" i="2"/>
  <c r="F87" i="2"/>
  <c r="E87" i="2"/>
  <c r="D87" i="2"/>
  <c r="C87" i="2"/>
  <c r="L86" i="2"/>
  <c r="K86" i="2"/>
  <c r="J86" i="2"/>
  <c r="G86" i="2"/>
  <c r="F86" i="2"/>
  <c r="E86" i="2"/>
  <c r="D86" i="2"/>
  <c r="C86" i="2"/>
  <c r="K85" i="2"/>
  <c r="J85" i="2"/>
  <c r="I85" i="2"/>
  <c r="H85" i="2"/>
  <c r="G85" i="2"/>
  <c r="E85" i="2"/>
  <c r="J84" i="2"/>
  <c r="I84" i="2"/>
  <c r="H84" i="2"/>
  <c r="G84" i="2"/>
  <c r="F84" i="2"/>
  <c r="D84" i="2"/>
  <c r="C84" i="2"/>
  <c r="L83" i="2"/>
  <c r="K83" i="2"/>
  <c r="J83" i="2"/>
  <c r="H83" i="2"/>
  <c r="F83" i="2"/>
  <c r="E83" i="2"/>
  <c r="D83" i="2"/>
  <c r="C83" i="2"/>
  <c r="L82" i="2"/>
  <c r="K82" i="2"/>
  <c r="J82" i="2"/>
  <c r="I82" i="2"/>
  <c r="E82" i="2"/>
  <c r="C82" i="2"/>
  <c r="J81" i="2"/>
  <c r="I81" i="2"/>
  <c r="H81" i="2"/>
  <c r="G81" i="2"/>
  <c r="F81" i="2"/>
  <c r="E81" i="2"/>
  <c r="D81" i="2"/>
  <c r="C81" i="2"/>
  <c r="K80" i="2"/>
  <c r="J80" i="2"/>
  <c r="H80" i="2"/>
  <c r="G80" i="2"/>
  <c r="F80" i="2"/>
  <c r="E80" i="2"/>
  <c r="D80" i="2"/>
  <c r="C80" i="2"/>
  <c r="I79" i="2"/>
  <c r="H79" i="2"/>
  <c r="F79" i="2"/>
  <c r="E79" i="2"/>
  <c r="C79" i="2"/>
  <c r="K78" i="2"/>
  <c r="J78" i="2"/>
  <c r="I78" i="2"/>
  <c r="H78" i="2"/>
  <c r="F78" i="2"/>
  <c r="E78" i="2"/>
  <c r="D78" i="2"/>
  <c r="C78" i="2"/>
  <c r="L77" i="2"/>
  <c r="K77" i="2"/>
  <c r="I77" i="2"/>
  <c r="H77" i="2"/>
  <c r="G77" i="2"/>
  <c r="D77" i="2"/>
  <c r="L76" i="2"/>
  <c r="K76" i="2"/>
  <c r="J76" i="2"/>
  <c r="I76" i="2"/>
  <c r="H76" i="2"/>
  <c r="G76" i="2"/>
  <c r="E76" i="2"/>
  <c r="C76" i="2"/>
  <c r="K75" i="2"/>
  <c r="J75" i="2"/>
  <c r="I75" i="2"/>
  <c r="H75" i="2"/>
  <c r="G75" i="2"/>
  <c r="F75" i="2"/>
  <c r="E75" i="2"/>
  <c r="D75" i="2"/>
  <c r="C75" i="2"/>
  <c r="K74" i="2"/>
  <c r="H74" i="2"/>
  <c r="G74" i="2"/>
  <c r="F74" i="2"/>
  <c r="E74" i="2"/>
  <c r="D74" i="2"/>
  <c r="C74" i="2"/>
  <c r="L73" i="2"/>
  <c r="K73" i="2"/>
  <c r="J73" i="2"/>
  <c r="H73" i="2"/>
  <c r="F73" i="2"/>
  <c r="E73" i="2"/>
  <c r="D73" i="2"/>
  <c r="C73" i="2"/>
  <c r="L72" i="2"/>
  <c r="K72" i="2"/>
  <c r="J72" i="2"/>
  <c r="I72" i="2"/>
  <c r="H72" i="2"/>
  <c r="G72" i="2"/>
  <c r="C72" i="2"/>
  <c r="L71" i="2"/>
  <c r="K71" i="2"/>
  <c r="J71" i="2"/>
  <c r="I71" i="2"/>
  <c r="H71" i="2"/>
  <c r="G71" i="2"/>
  <c r="F71" i="2"/>
  <c r="E71" i="2"/>
  <c r="D71" i="2"/>
  <c r="L70" i="2"/>
  <c r="J70" i="2"/>
  <c r="I70" i="2"/>
  <c r="H70" i="2"/>
  <c r="G70" i="2"/>
  <c r="F70" i="2"/>
  <c r="E70" i="2"/>
  <c r="D70" i="2"/>
  <c r="C70" i="2"/>
  <c r="L69" i="2"/>
  <c r="J69" i="2"/>
  <c r="G69" i="2"/>
  <c r="F69" i="2"/>
  <c r="E69" i="2"/>
  <c r="D69" i="2"/>
  <c r="C69" i="2"/>
  <c r="L68" i="2"/>
  <c r="K68" i="2"/>
  <c r="J68" i="2"/>
  <c r="I68" i="2"/>
  <c r="H68" i="2"/>
  <c r="F68" i="2"/>
  <c r="D68" i="2"/>
  <c r="C68" i="2"/>
  <c r="L67" i="2"/>
  <c r="K67" i="2"/>
  <c r="J67" i="2"/>
  <c r="I67" i="2"/>
  <c r="H67" i="2"/>
  <c r="F67" i="2"/>
  <c r="E67" i="2"/>
  <c r="C67" i="2"/>
  <c r="K66" i="2"/>
  <c r="J66" i="2"/>
  <c r="I66" i="2"/>
  <c r="H66" i="2"/>
  <c r="G66" i="2"/>
  <c r="F66" i="2"/>
  <c r="E66" i="2"/>
  <c r="D66" i="2"/>
  <c r="C66" i="2"/>
  <c r="L65" i="2"/>
  <c r="J65" i="2"/>
  <c r="H65" i="2"/>
  <c r="G65" i="2"/>
  <c r="F65" i="2"/>
  <c r="E65" i="2"/>
  <c r="D65" i="2"/>
  <c r="L64" i="2"/>
  <c r="K64" i="2"/>
  <c r="J64" i="2"/>
  <c r="H64" i="2"/>
  <c r="G64" i="2"/>
  <c r="E64" i="2"/>
  <c r="D64" i="2"/>
  <c r="C64" i="2"/>
  <c r="L63" i="2"/>
  <c r="K63" i="2"/>
  <c r="J63" i="2"/>
  <c r="I63" i="2"/>
  <c r="H63" i="2"/>
  <c r="G63" i="2"/>
  <c r="F63" i="2"/>
  <c r="D63" i="2"/>
  <c r="L62" i="2"/>
  <c r="K62" i="2"/>
  <c r="J62" i="2"/>
  <c r="H62" i="2"/>
  <c r="G62" i="2"/>
  <c r="F62" i="2"/>
  <c r="E62" i="2"/>
  <c r="C62" i="2"/>
  <c r="L61" i="2"/>
  <c r="K61" i="2"/>
  <c r="I61" i="2"/>
  <c r="H61" i="2"/>
  <c r="G61" i="2"/>
  <c r="F61" i="2"/>
  <c r="E61" i="2"/>
  <c r="D61" i="2"/>
  <c r="C61" i="2"/>
  <c r="L60" i="2"/>
  <c r="K60" i="2"/>
  <c r="J60" i="2"/>
  <c r="H60" i="2"/>
  <c r="F60" i="2"/>
  <c r="D60" i="2"/>
  <c r="C60" i="2"/>
  <c r="L59" i="2"/>
  <c r="K59" i="2"/>
  <c r="J59" i="2"/>
  <c r="H59" i="2"/>
  <c r="G59" i="2"/>
  <c r="F59" i="2"/>
  <c r="E59" i="2"/>
  <c r="C59" i="2"/>
  <c r="L58" i="2"/>
  <c r="K58" i="2"/>
  <c r="J58" i="2"/>
  <c r="I58" i="2"/>
  <c r="H58" i="2"/>
  <c r="G58" i="2"/>
  <c r="F58" i="2"/>
  <c r="E58" i="2"/>
  <c r="D58" i="2"/>
  <c r="L57" i="2"/>
  <c r="I57" i="2"/>
  <c r="H57" i="2"/>
  <c r="G57" i="2"/>
  <c r="F57" i="2"/>
  <c r="E57" i="2"/>
  <c r="C57" i="2"/>
  <c r="L56" i="2"/>
  <c r="K56" i="2"/>
  <c r="J56" i="2"/>
  <c r="I56" i="2"/>
  <c r="G56" i="2"/>
  <c r="F56" i="2"/>
  <c r="E56" i="2"/>
  <c r="D56" i="2"/>
  <c r="C56" i="2"/>
  <c r="L55" i="2"/>
  <c r="K55" i="2"/>
  <c r="J55" i="2"/>
  <c r="I55" i="2"/>
  <c r="H55" i="2"/>
  <c r="E55" i="2"/>
  <c r="C55" i="2"/>
  <c r="L54" i="2"/>
  <c r="K54" i="2"/>
  <c r="J54" i="2"/>
  <c r="H54" i="2"/>
  <c r="G54" i="2"/>
  <c r="F54" i="2"/>
  <c r="E54" i="2"/>
  <c r="D54" i="2"/>
  <c r="C54" i="2"/>
  <c r="K53" i="2"/>
  <c r="J53" i="2"/>
  <c r="I53" i="2"/>
  <c r="H53" i="2"/>
  <c r="G53" i="2"/>
  <c r="F53" i="2"/>
  <c r="E53" i="2"/>
  <c r="D53" i="2"/>
  <c r="L52" i="2"/>
  <c r="K52" i="2"/>
  <c r="I52" i="2"/>
  <c r="G52" i="2"/>
  <c r="F52" i="2"/>
  <c r="E52" i="2"/>
  <c r="C52" i="2"/>
  <c r="L51" i="2"/>
  <c r="K51" i="2"/>
  <c r="J51" i="2"/>
  <c r="I51" i="2"/>
  <c r="H51" i="2"/>
  <c r="G51" i="2"/>
  <c r="E51" i="2"/>
  <c r="D51" i="2"/>
  <c r="C51" i="2"/>
  <c r="L50" i="2"/>
  <c r="K50" i="2"/>
  <c r="J50" i="2"/>
  <c r="H50" i="2"/>
  <c r="G50" i="2"/>
  <c r="F50" i="2"/>
  <c r="E50" i="2"/>
  <c r="C50" i="2"/>
  <c r="K49" i="2"/>
  <c r="J49" i="2"/>
  <c r="H49" i="2"/>
  <c r="G49" i="2"/>
  <c r="F49" i="2"/>
  <c r="E49" i="2"/>
  <c r="D49" i="2"/>
  <c r="C49" i="2"/>
  <c r="L48" i="2"/>
  <c r="K48" i="2"/>
  <c r="I48" i="2"/>
  <c r="H48" i="2"/>
  <c r="G48" i="2"/>
  <c r="F48" i="2"/>
  <c r="D48" i="2"/>
  <c r="C48" i="2"/>
  <c r="L47" i="2"/>
  <c r="K47" i="2"/>
  <c r="J47" i="2"/>
  <c r="I47" i="2"/>
  <c r="G47" i="2"/>
  <c r="E47" i="2"/>
  <c r="C47" i="2"/>
  <c r="L41" i="2"/>
  <c r="K41" i="2"/>
  <c r="J41" i="2"/>
  <c r="I41" i="2"/>
  <c r="H41" i="2"/>
  <c r="G41" i="2"/>
  <c r="F41" i="2"/>
  <c r="E41" i="2"/>
  <c r="D41" i="2"/>
  <c r="C41" i="2"/>
  <c r="I39" i="2"/>
  <c r="L38" i="2"/>
  <c r="L39" i="2" s="1"/>
  <c r="K38" i="2"/>
  <c r="K39" i="2" s="1"/>
  <c r="J38" i="2"/>
  <c r="J39" i="2" s="1"/>
  <c r="I38" i="2"/>
  <c r="H38" i="2"/>
  <c r="H39" i="2" s="1"/>
  <c r="G38" i="2"/>
  <c r="G39" i="2" s="1"/>
  <c r="F38" i="2"/>
  <c r="F39" i="2" s="1"/>
  <c r="E38" i="2"/>
  <c r="E39" i="2" s="1"/>
  <c r="D38" i="2"/>
  <c r="D39" i="2" s="1"/>
  <c r="C38" i="2"/>
  <c r="C39" i="2" s="1"/>
  <c r="L37" i="2"/>
  <c r="K37" i="2"/>
  <c r="J37" i="2"/>
  <c r="I37" i="2"/>
  <c r="H37" i="2"/>
  <c r="G37" i="2"/>
  <c r="F37" i="2"/>
  <c r="E37" i="2"/>
  <c r="D37" i="2"/>
  <c r="C37" i="2"/>
  <c r="K34" i="2" a="1"/>
  <c r="K34" i="2" s="1"/>
  <c r="J34" i="2" a="1"/>
  <c r="J34" i="2" s="1"/>
  <c r="I34" i="2" a="1"/>
  <c r="I34" i="2" s="1"/>
  <c r="H34" i="2"/>
  <c r="H34" i="2" a="1"/>
  <c r="G34" i="2" a="1"/>
  <c r="G34" i="2" s="1"/>
  <c r="F34" i="2" a="1"/>
  <c r="F34" i="2" s="1"/>
  <c r="E34" i="2" a="1"/>
  <c r="E34" i="2" s="1"/>
  <c r="D34" i="2" a="1"/>
  <c r="D34" i="2" s="1"/>
  <c r="C34" i="2"/>
  <c r="C34" i="2" a="1"/>
  <c r="C33" i="2"/>
  <c r="E27" i="2"/>
  <c r="D27" i="2"/>
  <c r="D27" i="2" a="1"/>
  <c r="C27" i="2"/>
  <c r="C27" i="2" a="1"/>
  <c r="E26" i="2"/>
  <c r="D26" i="2" a="1"/>
  <c r="D26" i="2" s="1"/>
  <c r="C26" i="2" a="1"/>
  <c r="C26" i="2" s="1"/>
  <c r="E25" i="2"/>
  <c r="D25" i="2" a="1"/>
  <c r="D25" i="2" s="1"/>
  <c r="C25" i="2" a="1"/>
  <c r="C25" i="2" s="1"/>
  <c r="E24" i="2"/>
  <c r="D24" i="2" a="1"/>
  <c r="D24" i="2" s="1"/>
  <c r="C24" i="2" a="1"/>
  <c r="C24" i="2" s="1"/>
  <c r="E23" i="2"/>
  <c r="D23" i="2"/>
  <c r="C23" i="2"/>
  <c r="E22" i="2"/>
  <c r="D22" i="2"/>
  <c r="C22" i="2"/>
  <c r="E21" i="2"/>
  <c r="L144" i="2" s="1"/>
  <c r="D21" i="2"/>
  <c r="D21" i="2" a="1"/>
  <c r="C21" i="2"/>
  <c r="C21" i="2" a="1"/>
  <c r="E20" i="2"/>
  <c r="E19" i="2"/>
  <c r="C20" i="2" s="1"/>
  <c r="D19" i="2" a="1"/>
  <c r="D19" i="2" s="1"/>
  <c r="D20" i="2" s="1"/>
  <c r="C19" i="2" a="1"/>
  <c r="C19" i="2" s="1"/>
  <c r="E18" i="2"/>
  <c r="D18" i="2"/>
  <c r="D18" i="2" a="1"/>
  <c r="C18" i="2" a="1"/>
  <c r="C18" i="2" s="1"/>
  <c r="E17" i="2"/>
  <c r="D17" i="2"/>
  <c r="D17" i="2" a="1"/>
  <c r="C17" i="2"/>
  <c r="C17" i="2" a="1"/>
  <c r="E16" i="2"/>
  <c r="D16" i="2"/>
  <c r="D16" i="2" a="1"/>
  <c r="C16" i="2" a="1"/>
  <c r="C16" i="2" s="1"/>
  <c r="E15" i="2"/>
  <c r="D15" i="2" a="1"/>
  <c r="D15" i="2" s="1"/>
  <c r="C15" i="2"/>
  <c r="C15" i="2" a="1"/>
  <c r="C7" i="2" a="1"/>
  <c r="C7" i="2" s="1"/>
  <c r="C6" i="2" a="1"/>
  <c r="C6" i="2" s="1"/>
  <c r="C3" i="2" a="1"/>
  <c r="C3" i="2" s="1"/>
  <c r="C2" i="2" a="1"/>
  <c r="C2" i="2" s="1"/>
  <c r="G3" i="1"/>
  <c r="F2" i="1"/>
  <c r="G2" i="1"/>
  <c r="K2" i="1"/>
  <c r="I2" i="1"/>
  <c r="K263" i="2" l="1"/>
  <c r="G309" i="2"/>
  <c r="F260" i="2"/>
  <c r="D40" i="2"/>
  <c r="G269" i="2"/>
  <c r="D46" i="2"/>
  <c r="E46" i="2"/>
  <c r="E170" i="2" s="1"/>
  <c r="C46" i="2"/>
  <c r="L46" i="2"/>
  <c r="K46" i="2"/>
  <c r="J46" i="2"/>
  <c r="I46" i="2"/>
  <c r="G46" i="2"/>
  <c r="F46" i="2"/>
  <c r="H46" i="2"/>
  <c r="H175" i="2" s="1"/>
  <c r="H277" i="2" s="1"/>
  <c r="K331" i="2"/>
  <c r="L244" i="2"/>
  <c r="L346" i="2" s="1"/>
  <c r="C40" i="2"/>
  <c r="H40" i="2"/>
  <c r="K40" i="2"/>
  <c r="K239" i="2" s="1"/>
  <c r="K341" i="2" s="1"/>
  <c r="J40" i="2"/>
  <c r="J249" i="2" s="1"/>
  <c r="J351" i="2" s="1"/>
  <c r="I40" i="2"/>
  <c r="I245" i="2" s="1"/>
  <c r="I347" i="2" s="1"/>
  <c r="J263" i="2"/>
  <c r="E40" i="2"/>
  <c r="L40" i="2"/>
  <c r="G275" i="2"/>
  <c r="G339" i="2"/>
  <c r="J331" i="2"/>
  <c r="K316" i="2"/>
  <c r="J335" i="2"/>
  <c r="K275" i="2"/>
  <c r="J288" i="2"/>
  <c r="E175" i="2"/>
  <c r="E277" i="2" s="1"/>
  <c r="I193" i="2"/>
  <c r="I295" i="2" s="1"/>
  <c r="I240" i="2"/>
  <c r="I342" i="2" s="1"/>
  <c r="G251" i="2"/>
  <c r="F272" i="2"/>
  <c r="E278" i="2"/>
  <c r="K342" i="2"/>
  <c r="K291" i="2"/>
  <c r="K301" i="2"/>
  <c r="F316" i="2"/>
  <c r="D335" i="2"/>
  <c r="F40" i="2"/>
  <c r="F190" i="2" s="1"/>
  <c r="F292" i="2" s="1"/>
  <c r="G40" i="2"/>
  <c r="L164" i="2"/>
  <c r="L266" i="2" s="1"/>
  <c r="L251" i="2"/>
  <c r="J275" i="2"/>
  <c r="G347" i="2"/>
  <c r="F328" i="2"/>
  <c r="G167" i="2"/>
  <c r="I184" i="2"/>
  <c r="I286" i="2" s="1"/>
  <c r="J193" i="2"/>
  <c r="J295" i="2" s="1"/>
  <c r="F204" i="2"/>
  <c r="F306" i="2" s="1"/>
  <c r="E213" i="2"/>
  <c r="E315" i="2" s="1"/>
  <c r="E222" i="2"/>
  <c r="I230" i="2"/>
  <c r="L151" i="2"/>
  <c r="F223" i="2"/>
  <c r="F325" i="2" s="1"/>
  <c r="F244" i="2"/>
  <c r="F346" i="2" s="1"/>
  <c r="E253" i="2"/>
  <c r="D277" i="2"/>
  <c r="G349" i="2"/>
  <c r="F206" i="2"/>
  <c r="F308" i="2" s="1"/>
  <c r="K214" i="2"/>
  <c r="I225" i="2"/>
  <c r="L204" i="2"/>
  <c r="G253" i="2"/>
  <c r="G256" i="2"/>
  <c r="K300" i="2"/>
  <c r="K233" i="2"/>
  <c r="G231" i="2"/>
  <c r="K221" i="2"/>
  <c r="G219" i="2"/>
  <c r="C217" i="2"/>
  <c r="C319" i="2" s="1"/>
  <c r="I214" i="2"/>
  <c r="I316" i="2" s="1"/>
  <c r="K209" i="2"/>
  <c r="G207" i="2"/>
  <c r="K185" i="2"/>
  <c r="K287" i="2" s="1"/>
  <c r="G183" i="2"/>
  <c r="G285" i="2" s="1"/>
  <c r="I178" i="2"/>
  <c r="E176" i="2"/>
  <c r="K173" i="2"/>
  <c r="G171" i="2"/>
  <c r="G273" i="2" s="1"/>
  <c r="K161" i="2"/>
  <c r="G159" i="2"/>
  <c r="I154" i="2"/>
  <c r="I256" i="2" s="1"/>
  <c r="E152" i="2"/>
  <c r="E254" i="2" s="1"/>
  <c r="K149" i="2"/>
  <c r="J228" i="2"/>
  <c r="J330" i="2" s="1"/>
  <c r="F226" i="2"/>
  <c r="D219" i="2"/>
  <c r="J216" i="2"/>
  <c r="J318" i="2" s="1"/>
  <c r="F214" i="2"/>
  <c r="J204" i="2"/>
  <c r="J306" i="2" s="1"/>
  <c r="F202" i="2"/>
  <c r="F304" i="2" s="1"/>
  <c r="L199" i="2"/>
  <c r="H197" i="2"/>
  <c r="J192" i="2"/>
  <c r="J294" i="2" s="1"/>
  <c r="J242" i="2"/>
  <c r="J245" i="2"/>
  <c r="I237" i="2"/>
  <c r="I339" i="2" s="1"/>
  <c r="G232" i="2"/>
  <c r="G334" i="2" s="1"/>
  <c r="K229" i="2"/>
  <c r="I224" i="2"/>
  <c r="F219" i="2"/>
  <c r="I216" i="2"/>
  <c r="G211" i="2"/>
  <c r="G313" i="2" s="1"/>
  <c r="K208" i="2"/>
  <c r="K187" i="2"/>
  <c r="K289" i="2" s="1"/>
  <c r="I182" i="2"/>
  <c r="I177" i="2"/>
  <c r="I279" i="2" s="1"/>
  <c r="D175" i="2"/>
  <c r="I172" i="2"/>
  <c r="I274" i="2" s="1"/>
  <c r="D170" i="2"/>
  <c r="I162" i="2"/>
  <c r="I157" i="2"/>
  <c r="I259" i="2" s="1"/>
  <c r="D155" i="2"/>
  <c r="D257" i="2" s="1"/>
  <c r="I152" i="2"/>
  <c r="K226" i="2"/>
  <c r="G221" i="2"/>
  <c r="G323" i="2" s="1"/>
  <c r="K218" i="2"/>
  <c r="K320" i="2" s="1"/>
  <c r="I213" i="2"/>
  <c r="I315" i="2" s="1"/>
  <c r="F195" i="2"/>
  <c r="F297" i="2" s="1"/>
  <c r="I192" i="2"/>
  <c r="I294" i="2" s="1"/>
  <c r="G187" i="2"/>
  <c r="G289" i="2" s="1"/>
  <c r="K184" i="2"/>
  <c r="K286" i="2" s="1"/>
  <c r="J169" i="2"/>
  <c r="J164" i="2"/>
  <c r="J266" i="2" s="1"/>
  <c r="I149" i="2"/>
  <c r="C247" i="2"/>
  <c r="C349" i="2" s="1"/>
  <c r="G235" i="2"/>
  <c r="G337" i="2" s="1"/>
  <c r="I232" i="2"/>
  <c r="I334" i="2" s="1"/>
  <c r="J229" i="2"/>
  <c r="L226" i="2"/>
  <c r="L328" i="2" s="1"/>
  <c r="K223" i="2"/>
  <c r="K325" i="2" s="1"/>
  <c r="C221" i="2"/>
  <c r="C323" i="2" s="1"/>
  <c r="G192" i="2"/>
  <c r="G294" i="2" s="1"/>
  <c r="I189" i="2"/>
  <c r="G178" i="2"/>
  <c r="J175" i="2"/>
  <c r="F170" i="2"/>
  <c r="K164" i="2"/>
  <c r="K266" i="2" s="1"/>
  <c r="E159" i="2"/>
  <c r="E261" i="2" s="1"/>
  <c r="K153" i="2"/>
  <c r="K255" i="2" s="1"/>
  <c r="I223" i="2"/>
  <c r="I325" i="2" s="1"/>
  <c r="K220" i="2"/>
  <c r="K322" i="2" s="1"/>
  <c r="E215" i="2"/>
  <c r="E317" i="2" s="1"/>
  <c r="G212" i="2"/>
  <c r="G314" i="2" s="1"/>
  <c r="G209" i="2"/>
  <c r="D198" i="2"/>
  <c r="D300" i="2" s="1"/>
  <c r="E192" i="2"/>
  <c r="G189" i="2"/>
  <c r="G291" i="2" s="1"/>
  <c r="I186" i="2"/>
  <c r="I288" i="2" s="1"/>
  <c r="J161" i="2"/>
  <c r="F156" i="2"/>
  <c r="F258" i="2" s="1"/>
  <c r="I153" i="2"/>
  <c r="I249" i="2"/>
  <c r="I351" i="2" s="1"/>
  <c r="J246" i="2"/>
  <c r="J348" i="2" s="1"/>
  <c r="K240" i="2"/>
  <c r="E232" i="2"/>
  <c r="E334" i="2" s="1"/>
  <c r="F229" i="2"/>
  <c r="F331" i="2" s="1"/>
  <c r="G226" i="2"/>
  <c r="G328" i="2" s="1"/>
  <c r="J220" i="2"/>
  <c r="J322" i="2" s="1"/>
  <c r="J203" i="2"/>
  <c r="J305" i="2" s="1"/>
  <c r="F189" i="2"/>
  <c r="F291" i="2" s="1"/>
  <c r="J183" i="2"/>
  <c r="J285" i="2" s="1"/>
  <c r="K180" i="2"/>
  <c r="K282" i="2" s="1"/>
  <c r="J172" i="2"/>
  <c r="G164" i="2"/>
  <c r="G266" i="2" s="1"/>
  <c r="I161" i="2"/>
  <c r="L158" i="2"/>
  <c r="L260" i="2" s="1"/>
  <c r="E156" i="2"/>
  <c r="E258" i="2" s="1"/>
  <c r="H153" i="2"/>
  <c r="H255" i="2" s="1"/>
  <c r="K150" i="2"/>
  <c r="K252" i="2" s="1"/>
  <c r="K211" i="2"/>
  <c r="K313" i="2" s="1"/>
  <c r="I208" i="2"/>
  <c r="G205" i="2"/>
  <c r="L185" i="2"/>
  <c r="L287" i="2" s="1"/>
  <c r="G179" i="2"/>
  <c r="G281" i="2" s="1"/>
  <c r="G176" i="2"/>
  <c r="G278" i="2" s="1"/>
  <c r="J157" i="2"/>
  <c r="G154" i="2"/>
  <c r="G151" i="2"/>
  <c r="I244" i="2"/>
  <c r="I346" i="2" s="1"/>
  <c r="G241" i="2"/>
  <c r="K237" i="2"/>
  <c r="K339" i="2" s="1"/>
  <c r="F231" i="2"/>
  <c r="D228" i="2"/>
  <c r="J221" i="2"/>
  <c r="J323" i="2" s="1"/>
  <c r="G218" i="2"/>
  <c r="G320" i="2" s="1"/>
  <c r="J211" i="2"/>
  <c r="F205" i="2"/>
  <c r="F307" i="2" s="1"/>
  <c r="C202" i="2"/>
  <c r="C304" i="2" s="1"/>
  <c r="J195" i="2"/>
  <c r="J297" i="2" s="1"/>
  <c r="K169" i="2"/>
  <c r="K271" i="2" s="1"/>
  <c r="J166" i="2"/>
  <c r="I163" i="2"/>
  <c r="I160" i="2"/>
  <c r="I262" i="2" s="1"/>
  <c r="F154" i="2"/>
  <c r="F151" i="2"/>
  <c r="F253" i="2" s="1"/>
  <c r="K247" i="2"/>
  <c r="J237" i="2"/>
  <c r="J339" i="2" s="1"/>
  <c r="G234" i="2"/>
  <c r="E231" i="2"/>
  <c r="L224" i="2"/>
  <c r="L326" i="2" s="1"/>
  <c r="I221" i="2"/>
  <c r="I323" i="2" s="1"/>
  <c r="K198" i="2"/>
  <c r="K188" i="2"/>
  <c r="I185" i="2"/>
  <c r="F182" i="2"/>
  <c r="F284" i="2" s="1"/>
  <c r="E179" i="2"/>
  <c r="D176" i="2"/>
  <c r="D278" i="2" s="1"/>
  <c r="D173" i="2"/>
  <c r="D275" i="2" s="1"/>
  <c r="G157" i="2"/>
  <c r="E151" i="2"/>
  <c r="I246" i="2"/>
  <c r="K242" i="2"/>
  <c r="K344" i="2" s="1"/>
  <c r="K216" i="2"/>
  <c r="K318" i="2" s="1"/>
  <c r="J201" i="2"/>
  <c r="J197" i="2"/>
  <c r="J299" i="2" s="1"/>
  <c r="E194" i="2"/>
  <c r="E296" i="2" s="1"/>
  <c r="K190" i="2"/>
  <c r="J168" i="2"/>
  <c r="J270" i="2" s="1"/>
  <c r="G165" i="2"/>
  <c r="G267" i="2" s="1"/>
  <c r="E158" i="2"/>
  <c r="E260" i="2" s="1"/>
  <c r="K154" i="2"/>
  <c r="K256" i="2" s="1"/>
  <c r="J223" i="2"/>
  <c r="C209" i="2"/>
  <c r="C311" i="2" s="1"/>
  <c r="D205" i="2"/>
  <c r="H201" i="2"/>
  <c r="H303" i="2" s="1"/>
  <c r="G197" i="2"/>
  <c r="G190" i="2"/>
  <c r="J186" i="2"/>
  <c r="D179" i="2"/>
  <c r="D281" i="2" s="1"/>
  <c r="I175" i="2"/>
  <c r="K248" i="2"/>
  <c r="K350" i="2" s="1"/>
  <c r="K244" i="2"/>
  <c r="G222" i="2"/>
  <c r="G324" i="2" s="1"/>
  <c r="I218" i="2"/>
  <c r="K210" i="2"/>
  <c r="K312" i="2" s="1"/>
  <c r="F207" i="2"/>
  <c r="F309" i="2" s="1"/>
  <c r="G203" i="2"/>
  <c r="J184" i="2"/>
  <c r="J286" i="2" s="1"/>
  <c r="J170" i="2"/>
  <c r="J272" i="2" s="1"/>
  <c r="E163" i="2"/>
  <c r="E265" i="2" s="1"/>
  <c r="K159" i="2"/>
  <c r="C156" i="2"/>
  <c r="C258" i="2" s="1"/>
  <c r="J152" i="2"/>
  <c r="J254" i="2" s="1"/>
  <c r="J248" i="2"/>
  <c r="J350" i="2" s="1"/>
  <c r="G244" i="2"/>
  <c r="G240" i="2"/>
  <c r="G342" i="2" s="1"/>
  <c r="K236" i="2"/>
  <c r="K338" i="2" s="1"/>
  <c r="E233" i="2"/>
  <c r="E335" i="2" s="1"/>
  <c r="J243" i="2"/>
  <c r="J345" i="2" s="1"/>
  <c r="K199" i="2"/>
  <c r="F191" i="2"/>
  <c r="E187" i="2"/>
  <c r="K182" i="2"/>
  <c r="K284" i="2" s="1"/>
  <c r="J178" i="2"/>
  <c r="K170" i="2"/>
  <c r="K272" i="2" s="1"/>
  <c r="G158" i="2"/>
  <c r="G260" i="2" s="1"/>
  <c r="I243" i="2"/>
  <c r="I345" i="2" s="1"/>
  <c r="L238" i="2"/>
  <c r="G225" i="2"/>
  <c r="G327" i="2" s="1"/>
  <c r="J212" i="2"/>
  <c r="J314" i="2" s="1"/>
  <c r="I199" i="2"/>
  <c r="I301" i="2" s="1"/>
  <c r="J182" i="2"/>
  <c r="J284" i="2" s="1"/>
  <c r="G174" i="2"/>
  <c r="G276" i="2" s="1"/>
  <c r="F158" i="2"/>
  <c r="L149" i="2"/>
  <c r="L43" i="2" s="1"/>
  <c r="L44" i="2" s="1"/>
  <c r="L45" i="2" s="1"/>
  <c r="K238" i="2"/>
  <c r="K340" i="2" s="1"/>
  <c r="J233" i="2"/>
  <c r="K194" i="2"/>
  <c r="L186" i="2"/>
  <c r="D182" i="2"/>
  <c r="D284" i="2" s="1"/>
  <c r="F178" i="2"/>
  <c r="F162" i="2"/>
  <c r="J153" i="2"/>
  <c r="J255" i="2" s="1"/>
  <c r="J149" i="2"/>
  <c r="J247" i="2"/>
  <c r="J349" i="2" s="1"/>
  <c r="D233" i="2"/>
  <c r="E220" i="2"/>
  <c r="E322" i="2" s="1"/>
  <c r="G238" i="2"/>
  <c r="G340" i="2" s="1"/>
  <c r="H220" i="2"/>
  <c r="H322" i="2" s="1"/>
  <c r="F216" i="2"/>
  <c r="F318" i="2" s="1"/>
  <c r="D212" i="2"/>
  <c r="K207" i="2"/>
  <c r="G199" i="2"/>
  <c r="G301" i="2" s="1"/>
  <c r="J194" i="2"/>
  <c r="G186" i="2"/>
  <c r="G288" i="2" s="1"/>
  <c r="G170" i="2"/>
  <c r="G153" i="2"/>
  <c r="G237" i="2"/>
  <c r="K228" i="2"/>
  <c r="K330" i="2" s="1"/>
  <c r="I207" i="2"/>
  <c r="I309" i="2" s="1"/>
  <c r="J190" i="2"/>
  <c r="J292" i="2" s="1"/>
  <c r="K181" i="2"/>
  <c r="L173" i="2"/>
  <c r="L275" i="2" s="1"/>
  <c r="G169" i="2"/>
  <c r="F157" i="2"/>
  <c r="J236" i="2"/>
  <c r="J338" i="2" s="1"/>
  <c r="J232" i="2"/>
  <c r="J334" i="2" s="1"/>
  <c r="F228" i="2"/>
  <c r="G223" i="2"/>
  <c r="G325" i="2" s="1"/>
  <c r="I215" i="2"/>
  <c r="I317" i="2" s="1"/>
  <c r="L206" i="2"/>
  <c r="L308" i="2" s="1"/>
  <c r="J202" i="2"/>
  <c r="K189" i="2"/>
  <c r="G173" i="2"/>
  <c r="K152" i="2"/>
  <c r="K254" i="2" s="1"/>
  <c r="G248" i="2"/>
  <c r="G233" i="2"/>
  <c r="K224" i="2"/>
  <c r="K326" i="2" s="1"/>
  <c r="J207" i="2"/>
  <c r="F203" i="2"/>
  <c r="F305" i="2" s="1"/>
  <c r="F199" i="2"/>
  <c r="F301" i="2" s="1"/>
  <c r="I194" i="2"/>
  <c r="K165" i="2"/>
  <c r="K157" i="2"/>
  <c r="K259" i="2" s="1"/>
  <c r="G149" i="2"/>
  <c r="G43" i="2" s="1"/>
  <c r="G44" i="2" s="1"/>
  <c r="G45" i="2" s="1"/>
  <c r="J224" i="2"/>
  <c r="J326" i="2" s="1"/>
  <c r="K177" i="2"/>
  <c r="K279" i="2" s="1"/>
  <c r="G161" i="2"/>
  <c r="G263" i="2" s="1"/>
  <c r="I247" i="2"/>
  <c r="I349" i="2" s="1"/>
  <c r="I242" i="2"/>
  <c r="I344" i="2" s="1"/>
  <c r="C233" i="2"/>
  <c r="C335" i="2" s="1"/>
  <c r="I228" i="2"/>
  <c r="I330" i="2" s="1"/>
  <c r="J177" i="2"/>
  <c r="J279" i="2" s="1"/>
  <c r="J173" i="2"/>
  <c r="F169" i="2"/>
  <c r="I165" i="2"/>
  <c r="I267" i="2" s="1"/>
  <c r="E161" i="2"/>
  <c r="G247" i="2"/>
  <c r="F242" i="2"/>
  <c r="F344" i="2" s="1"/>
  <c r="L232" i="2"/>
  <c r="L334" i="2" s="1"/>
  <c r="L219" i="2"/>
  <c r="L321" i="2" s="1"/>
  <c r="K215" i="2"/>
  <c r="K317" i="2" s="1"/>
  <c r="G177" i="2"/>
  <c r="I173" i="2"/>
  <c r="I275" i="2" s="1"/>
  <c r="D161" i="2"/>
  <c r="L156" i="2"/>
  <c r="L258" i="2" s="1"/>
  <c r="C153" i="2"/>
  <c r="C255" i="2" s="1"/>
  <c r="K232" i="2"/>
  <c r="G228" i="2"/>
  <c r="C224" i="2"/>
  <c r="C326" i="2" s="1"/>
  <c r="K219" i="2"/>
  <c r="J215" i="2"/>
  <c r="J317" i="2" s="1"/>
  <c r="F177" i="2"/>
  <c r="F279" i="2" s="1"/>
  <c r="F165" i="2"/>
  <c r="F267" i="2" s="1"/>
  <c r="K156" i="2"/>
  <c r="K258" i="2" s="1"/>
  <c r="L152" i="2"/>
  <c r="L254" i="2" s="1"/>
  <c r="J219" i="2"/>
  <c r="F240" i="2"/>
  <c r="F342" i="2" s="1"/>
  <c r="D227" i="2"/>
  <c r="D329" i="2" s="1"/>
  <c r="K222" i="2"/>
  <c r="K324" i="2" s="1"/>
  <c r="J218" i="2"/>
  <c r="J320" i="2" s="1"/>
  <c r="D214" i="2"/>
  <c r="G201" i="2"/>
  <c r="K171" i="2"/>
  <c r="L163" i="2"/>
  <c r="L265" i="2" s="1"/>
  <c r="L159" i="2"/>
  <c r="L261" i="2" s="1"/>
  <c r="J155" i="2"/>
  <c r="J257" i="2" s="1"/>
  <c r="K151" i="2"/>
  <c r="K253" i="2" s="1"/>
  <c r="G245" i="2"/>
  <c r="J235" i="2"/>
  <c r="J337" i="2" s="1"/>
  <c r="I222" i="2"/>
  <c r="K196" i="2"/>
  <c r="K298" i="2" s="1"/>
  <c r="F188" i="2"/>
  <c r="F290" i="2" s="1"/>
  <c r="G163" i="2"/>
  <c r="G265" i="2" s="1"/>
  <c r="K235" i="2"/>
  <c r="F201" i="2"/>
  <c r="F303" i="2" s="1"/>
  <c r="L196" i="2"/>
  <c r="L298" i="2" s="1"/>
  <c r="G188" i="2"/>
  <c r="J171" i="2"/>
  <c r="J273" i="2" s="1"/>
  <c r="K163" i="2"/>
  <c r="I159" i="2"/>
  <c r="I261" i="2" s="1"/>
  <c r="I155" i="2"/>
  <c r="I257" i="2" s="1"/>
  <c r="J151" i="2"/>
  <c r="K175" i="2"/>
  <c r="I151" i="2"/>
  <c r="J259" i="2"/>
  <c r="I280" i="2"/>
  <c r="K290" i="2"/>
  <c r="K337" i="2"/>
  <c r="K162" i="2"/>
  <c r="K264" i="2" s="1"/>
  <c r="E171" i="2"/>
  <c r="E273" i="2" s="1"/>
  <c r="L179" i="2"/>
  <c r="L281" i="2" s="1"/>
  <c r="F217" i="2"/>
  <c r="F319" i="2" s="1"/>
  <c r="E263" i="2"/>
  <c r="K328" i="2"/>
  <c r="L222" i="2"/>
  <c r="L231" i="2"/>
  <c r="L333" i="2" s="1"/>
  <c r="F256" i="2"/>
  <c r="F271" i="2"/>
  <c r="G280" i="2"/>
  <c r="J253" i="2"/>
  <c r="I265" i="2"/>
  <c r="J268" i="2"/>
  <c r="J271" i="2"/>
  <c r="J277" i="2"/>
  <c r="J280" i="2"/>
  <c r="K349" i="2"/>
  <c r="L154" i="2"/>
  <c r="L256" i="2" s="1"/>
  <c r="L162" i="2"/>
  <c r="L264" i="2" s="1"/>
  <c r="J208" i="2"/>
  <c r="G217" i="2"/>
  <c r="D226" i="2"/>
  <c r="D328" i="2" s="1"/>
  <c r="D236" i="2"/>
  <c r="D338" i="2" s="1"/>
  <c r="F246" i="2"/>
  <c r="F348" i="2" s="1"/>
  <c r="G311" i="2"/>
  <c r="K265" i="2"/>
  <c r="J274" i="2"/>
  <c r="K277" i="2"/>
  <c r="G346" i="2"/>
  <c r="E226" i="2"/>
  <c r="F236" i="2"/>
  <c r="G290" i="2"/>
  <c r="D163" i="2"/>
  <c r="D265" i="2" s="1"/>
  <c r="C172" i="2"/>
  <c r="C274" i="2" s="1"/>
  <c r="I180" i="2"/>
  <c r="I282" i="2" s="1"/>
  <c r="F227" i="2"/>
  <c r="G236" i="2"/>
  <c r="L246" i="2"/>
  <c r="L348" i="2" s="1"/>
  <c r="G305" i="2"/>
  <c r="G350" i="2"/>
  <c r="D272" i="2"/>
  <c r="D316" i="2"/>
  <c r="E289" i="2"/>
  <c r="I320" i="2"/>
  <c r="I324" i="2"/>
  <c r="J347" i="2"/>
  <c r="G255" i="2"/>
  <c r="F264" i="2"/>
  <c r="I310" i="2"/>
  <c r="I255" i="2"/>
  <c r="G303" i="2"/>
  <c r="K310" i="2"/>
  <c r="D314" i="2"/>
  <c r="G261" i="2"/>
  <c r="G279" i="2"/>
  <c r="I332" i="2"/>
  <c r="K292" i="2"/>
  <c r="K267" i="2"/>
  <c r="F293" i="2"/>
  <c r="I296" i="2"/>
  <c r="J321" i="2"/>
  <c r="J344" i="2"/>
  <c r="J303" i="2"/>
  <c r="F329" i="2"/>
  <c r="J325" i="2"/>
  <c r="J48" i="2"/>
  <c r="F51" i="2"/>
  <c r="L53" i="2"/>
  <c r="H56" i="2"/>
  <c r="D59" i="2"/>
  <c r="J61" i="2"/>
  <c r="F64" i="2"/>
  <c r="L66" i="2"/>
  <c r="H69" i="2"/>
  <c r="F72" i="2"/>
  <c r="L74" i="2"/>
  <c r="J77" i="2"/>
  <c r="J179" i="2" s="1"/>
  <c r="I80" i="2"/>
  <c r="I83" i="2"/>
  <c r="H86" i="2"/>
  <c r="H89" i="2"/>
  <c r="G92" i="2"/>
  <c r="G194" i="2" s="1"/>
  <c r="I95" i="2"/>
  <c r="I197" i="2" s="1"/>
  <c r="K98" i="2"/>
  <c r="K101" i="2"/>
  <c r="K203" i="2" s="1"/>
  <c r="K104" i="2"/>
  <c r="K107" i="2"/>
  <c r="D111" i="2"/>
  <c r="D114" i="2"/>
  <c r="H117" i="2"/>
  <c r="J120" i="2"/>
  <c r="E124" i="2"/>
  <c r="I127" i="2"/>
  <c r="K130" i="2"/>
  <c r="G134" i="2"/>
  <c r="J137" i="2"/>
  <c r="E141" i="2"/>
  <c r="I146" i="2"/>
  <c r="E144" i="2"/>
  <c r="K141" i="2"/>
  <c r="G139" i="2"/>
  <c r="C137" i="2"/>
  <c r="C239" i="2" s="1"/>
  <c r="I134" i="2"/>
  <c r="E132" i="2"/>
  <c r="K129" i="2"/>
  <c r="G127" i="2"/>
  <c r="G229" i="2" s="1"/>
  <c r="C125" i="2"/>
  <c r="I122" i="2"/>
  <c r="E120" i="2"/>
  <c r="K117" i="2"/>
  <c r="G115" i="2"/>
  <c r="C113" i="2"/>
  <c r="I110" i="2"/>
  <c r="E108" i="2"/>
  <c r="K105" i="2"/>
  <c r="G103" i="2"/>
  <c r="C101" i="2"/>
  <c r="I98" i="2"/>
  <c r="I200" i="2" s="1"/>
  <c r="E96" i="2"/>
  <c r="K93" i="2"/>
  <c r="G91" i="2"/>
  <c r="C89" i="2"/>
  <c r="I86" i="2"/>
  <c r="E84" i="2"/>
  <c r="K81" i="2"/>
  <c r="G79" i="2"/>
  <c r="G181" i="2" s="1"/>
  <c r="C77" i="2"/>
  <c r="I74" i="2"/>
  <c r="E72" i="2"/>
  <c r="K69" i="2"/>
  <c r="G67" i="2"/>
  <c r="C65" i="2"/>
  <c r="I62" i="2"/>
  <c r="E60" i="2"/>
  <c r="K57" i="2"/>
  <c r="G55" i="2"/>
  <c r="C53" i="2"/>
  <c r="C155" i="2" s="1"/>
  <c r="I50" i="2"/>
  <c r="E48" i="2"/>
  <c r="E146" i="2"/>
  <c r="K143" i="2"/>
  <c r="G141" i="2"/>
  <c r="C139" i="2"/>
  <c r="I136" i="2"/>
  <c r="E134" i="2"/>
  <c r="K131" i="2"/>
  <c r="G129" i="2"/>
  <c r="C127" i="2"/>
  <c r="I124" i="2"/>
  <c r="I226" i="2" s="1"/>
  <c r="E122" i="2"/>
  <c r="K119" i="2"/>
  <c r="G117" i="2"/>
  <c r="G147" i="2"/>
  <c r="K144" i="2"/>
  <c r="E142" i="2"/>
  <c r="I139" i="2"/>
  <c r="L136" i="2"/>
  <c r="F134" i="2"/>
  <c r="I131" i="2"/>
  <c r="C129" i="2"/>
  <c r="G126" i="2"/>
  <c r="K123" i="2"/>
  <c r="E121" i="2"/>
  <c r="I118" i="2"/>
  <c r="C116" i="2"/>
  <c r="H113" i="2"/>
  <c r="C111" i="2"/>
  <c r="H108" i="2"/>
  <c r="C106" i="2"/>
  <c r="H103" i="2"/>
  <c r="L100" i="2"/>
  <c r="G98" i="2"/>
  <c r="L95" i="2"/>
  <c r="L197" i="2" s="1"/>
  <c r="G93" i="2"/>
  <c r="L90" i="2"/>
  <c r="G88" i="2"/>
  <c r="L85" i="2"/>
  <c r="G83" i="2"/>
  <c r="G185" i="2" s="1"/>
  <c r="L80" i="2"/>
  <c r="G78" i="2"/>
  <c r="G180" i="2" s="1"/>
  <c r="L75" i="2"/>
  <c r="L177" i="2" s="1"/>
  <c r="E147" i="2"/>
  <c r="I144" i="2"/>
  <c r="C142" i="2"/>
  <c r="F139" i="2"/>
  <c r="J136" i="2"/>
  <c r="C134" i="2"/>
  <c r="G131" i="2"/>
  <c r="K128" i="2"/>
  <c r="E126" i="2"/>
  <c r="I123" i="2"/>
  <c r="C121" i="2"/>
  <c r="G118" i="2"/>
  <c r="K115" i="2"/>
  <c r="F113" i="2"/>
  <c r="K110" i="2"/>
  <c r="F108" i="2"/>
  <c r="J105" i="2"/>
  <c r="E103" i="2"/>
  <c r="J100" i="2"/>
  <c r="E98" i="2"/>
  <c r="D147" i="2"/>
  <c r="H144" i="2"/>
  <c r="L141" i="2"/>
  <c r="E139" i="2"/>
  <c r="H136" i="2"/>
  <c r="L133" i="2"/>
  <c r="F131" i="2"/>
  <c r="J128" i="2"/>
  <c r="D126" i="2"/>
  <c r="H123" i="2"/>
  <c r="L120" i="2"/>
  <c r="F147" i="2"/>
  <c r="D144" i="2"/>
  <c r="D141" i="2"/>
  <c r="E138" i="2"/>
  <c r="F135" i="2"/>
  <c r="F237" i="2" s="1"/>
  <c r="G132" i="2"/>
  <c r="F129" i="2"/>
  <c r="F126" i="2"/>
  <c r="E123" i="2"/>
  <c r="F120" i="2"/>
  <c r="F117" i="2"/>
  <c r="I114" i="2"/>
  <c r="L111" i="2"/>
  <c r="E109" i="2"/>
  <c r="H106" i="2"/>
  <c r="K103" i="2"/>
  <c r="K205" i="2" s="1"/>
  <c r="D101" i="2"/>
  <c r="D98" i="2"/>
  <c r="H95" i="2"/>
  <c r="L92" i="2"/>
  <c r="F90" i="2"/>
  <c r="J87" i="2"/>
  <c r="J189" i="2" s="1"/>
  <c r="D85" i="2"/>
  <c r="D187" i="2" s="1"/>
  <c r="H82" i="2"/>
  <c r="L79" i="2"/>
  <c r="F77" i="2"/>
  <c r="J74" i="2"/>
  <c r="D72" i="2"/>
  <c r="I69" i="2"/>
  <c r="D67" i="2"/>
  <c r="I64" i="2"/>
  <c r="D62" i="2"/>
  <c r="I59" i="2"/>
  <c r="D57" i="2"/>
  <c r="I54" i="2"/>
  <c r="D52" i="2"/>
  <c r="I49" i="2"/>
  <c r="D47" i="2"/>
  <c r="C147" i="2"/>
  <c r="C144" i="2"/>
  <c r="C141" i="2"/>
  <c r="D138" i="2"/>
  <c r="E135" i="2"/>
  <c r="F132" i="2"/>
  <c r="E129" i="2"/>
  <c r="C126" i="2"/>
  <c r="D123" i="2"/>
  <c r="D120" i="2"/>
  <c r="E117" i="2"/>
  <c r="H114" i="2"/>
  <c r="K111" i="2"/>
  <c r="D109" i="2"/>
  <c r="G106" i="2"/>
  <c r="G208" i="2" s="1"/>
  <c r="J103" i="2"/>
  <c r="K100" i="2"/>
  <c r="C98" i="2"/>
  <c r="G95" i="2"/>
  <c r="K92" i="2"/>
  <c r="E90" i="2"/>
  <c r="I87" i="2"/>
  <c r="C85" i="2"/>
  <c r="G82" i="2"/>
  <c r="G184" i="2" s="1"/>
  <c r="K79" i="2"/>
  <c r="E77" i="2"/>
  <c r="L146" i="2"/>
  <c r="L143" i="2"/>
  <c r="L245" i="2" s="1"/>
  <c r="L140" i="2"/>
  <c r="C138" i="2"/>
  <c r="D135" i="2"/>
  <c r="D132" i="2"/>
  <c r="D129" i="2"/>
  <c r="L125" i="2"/>
  <c r="C123" i="2"/>
  <c r="C120" i="2"/>
  <c r="D117" i="2"/>
  <c r="G114" i="2"/>
  <c r="J111" i="2"/>
  <c r="C109" i="2"/>
  <c r="F106" i="2"/>
  <c r="I103" i="2"/>
  <c r="I100" i="2"/>
  <c r="L97" i="2"/>
  <c r="F95" i="2"/>
  <c r="J92" i="2"/>
  <c r="D90" i="2"/>
  <c r="H87" i="2"/>
  <c r="L84" i="2"/>
  <c r="F82" i="2"/>
  <c r="F184" i="2" s="1"/>
  <c r="J79" i="2"/>
  <c r="F47" i="2"/>
  <c r="F149" i="2" s="1"/>
  <c r="F43" i="2" s="1"/>
  <c r="F44" i="2" s="1"/>
  <c r="F45" i="2" s="1"/>
  <c r="L49" i="2"/>
  <c r="H52" i="2"/>
  <c r="D55" i="2"/>
  <c r="D157" i="2" s="1"/>
  <c r="J57" i="2"/>
  <c r="G60" i="2"/>
  <c r="C63" i="2"/>
  <c r="I65" i="2"/>
  <c r="E68" i="2"/>
  <c r="K70" i="2"/>
  <c r="G73" i="2"/>
  <c r="D76" i="2"/>
  <c r="D178" i="2" s="1"/>
  <c r="L78" i="2"/>
  <c r="L81" i="2"/>
  <c r="K84" i="2"/>
  <c r="C88" i="2"/>
  <c r="C91" i="2"/>
  <c r="C193" i="2" s="1"/>
  <c r="C94" i="2"/>
  <c r="L96" i="2"/>
  <c r="L99" i="2"/>
  <c r="L102" i="2"/>
  <c r="E106" i="2"/>
  <c r="H109" i="2"/>
  <c r="H112" i="2"/>
  <c r="I115" i="2"/>
  <c r="I217" i="2" s="1"/>
  <c r="L118" i="2"/>
  <c r="D122" i="2"/>
  <c r="H125" i="2"/>
  <c r="L128" i="2"/>
  <c r="L230" i="2" s="1"/>
  <c r="J132" i="2"/>
  <c r="L135" i="2"/>
  <c r="H139" i="2"/>
  <c r="K142" i="2"/>
  <c r="C146" i="2"/>
  <c r="H47" i="2"/>
  <c r="D50" i="2"/>
  <c r="D152" i="2" s="1"/>
  <c r="J52" i="2"/>
  <c r="F55" i="2"/>
  <c r="C58" i="2"/>
  <c r="I60" i="2"/>
  <c r="E63" i="2"/>
  <c r="K65" i="2"/>
  <c r="G68" i="2"/>
  <c r="C71" i="2"/>
  <c r="I73" i="2"/>
  <c r="F76" i="2"/>
  <c r="D79" i="2"/>
  <c r="D82" i="2"/>
  <c r="F85" i="2"/>
  <c r="E88" i="2"/>
  <c r="E91" i="2"/>
  <c r="E94" i="2"/>
  <c r="D97" i="2"/>
  <c r="D100" i="2"/>
  <c r="D103" i="2"/>
  <c r="J106" i="2"/>
  <c r="J109" i="2"/>
  <c r="J112" i="2"/>
  <c r="L115" i="2"/>
  <c r="D119" i="2"/>
  <c r="G122" i="2"/>
  <c r="J125" i="2"/>
  <c r="I129" i="2"/>
  <c r="L132" i="2"/>
  <c r="L234" i="2" s="1"/>
  <c r="D136" i="2"/>
  <c r="K139" i="2"/>
  <c r="C143" i="2"/>
  <c r="F146" i="2"/>
  <c r="H221" i="2" l="1"/>
  <c r="H323" i="2" s="1"/>
  <c r="H248" i="2"/>
  <c r="H350" i="2" s="1"/>
  <c r="H229" i="2"/>
  <c r="H331" i="2" s="1"/>
  <c r="H249" i="2"/>
  <c r="H351" i="2" s="1"/>
  <c r="H199" i="2"/>
  <c r="H301" i="2" s="1"/>
  <c r="H195" i="2"/>
  <c r="H297" i="2" s="1"/>
  <c r="H176" i="2"/>
  <c r="H278" i="2" s="1"/>
  <c r="H226" i="2"/>
  <c r="H328" i="2" s="1"/>
  <c r="H173" i="2"/>
  <c r="H275" i="2" s="1"/>
  <c r="H218" i="2"/>
  <c r="H320" i="2" s="1"/>
  <c r="H162" i="2"/>
  <c r="H264" i="2" s="1"/>
  <c r="H167" i="2"/>
  <c r="H269" i="2" s="1"/>
  <c r="H163" i="2"/>
  <c r="H265" i="2" s="1"/>
  <c r="H160" i="2"/>
  <c r="H262" i="2" s="1"/>
  <c r="I333" i="2"/>
  <c r="C262" i="2"/>
  <c r="K186" i="2"/>
  <c r="K288" i="2" s="1"/>
  <c r="I205" i="2"/>
  <c r="I307" i="2" s="1"/>
  <c r="C200" i="2"/>
  <c r="C302" i="2" s="1"/>
  <c r="D266" i="2"/>
  <c r="F330" i="2"/>
  <c r="K212" i="2"/>
  <c r="K314" i="2" s="1"/>
  <c r="K243" i="2"/>
  <c r="K345" i="2" s="1"/>
  <c r="L176" i="2"/>
  <c r="L278" i="2" s="1"/>
  <c r="H205" i="2"/>
  <c r="H307" i="2" s="1"/>
  <c r="H178" i="2"/>
  <c r="H280" i="2" s="1"/>
  <c r="H208" i="2"/>
  <c r="C205" i="2"/>
  <c r="C307" i="2" s="1"/>
  <c r="C234" i="2"/>
  <c r="C336" i="2" s="1"/>
  <c r="C196" i="2"/>
  <c r="C298" i="2" s="1"/>
  <c r="C152" i="2"/>
  <c r="C254" i="2" s="1"/>
  <c r="C192" i="2"/>
  <c r="C294" i="2" s="1"/>
  <c r="C158" i="2"/>
  <c r="C260" i="2" s="1"/>
  <c r="C230" i="2"/>
  <c r="C332" i="2" s="1"/>
  <c r="C220" i="2"/>
  <c r="C322" i="2" s="1"/>
  <c r="C207" i="2"/>
  <c r="C309" i="2" s="1"/>
  <c r="C201" i="2"/>
  <c r="C303" i="2" s="1"/>
  <c r="C197" i="2"/>
  <c r="C299" i="2" s="1"/>
  <c r="C165" i="2"/>
  <c r="C267" i="2" s="1"/>
  <c r="C174" i="2"/>
  <c r="C276" i="2" s="1"/>
  <c r="C232" i="2"/>
  <c r="C334" i="2" s="1"/>
  <c r="C204" i="2"/>
  <c r="C306" i="2" s="1"/>
  <c r="C238" i="2"/>
  <c r="C340" i="2" s="1"/>
  <c r="C170" i="2"/>
  <c r="C272" i="2" s="1"/>
  <c r="C210" i="2"/>
  <c r="C312" i="2" s="1"/>
  <c r="C186" i="2"/>
  <c r="C288" i="2" s="1"/>
  <c r="C216" i="2"/>
  <c r="C318" i="2" s="1"/>
  <c r="C159" i="2"/>
  <c r="C261" i="2" s="1"/>
  <c r="C246" i="2"/>
  <c r="C167" i="2"/>
  <c r="C181" i="2"/>
  <c r="C283" i="2" s="1"/>
  <c r="C242" i="2"/>
  <c r="C344" i="2" s="1"/>
  <c r="C188" i="2"/>
  <c r="C290" i="2" s="1"/>
  <c r="C169" i="2"/>
  <c r="C271" i="2" s="1"/>
  <c r="C194" i="2"/>
  <c r="C296" i="2" s="1"/>
  <c r="C149" i="2"/>
  <c r="C198" i="2"/>
  <c r="C300" i="2" s="1"/>
  <c r="C199" i="2"/>
  <c r="C301" i="2" s="1"/>
  <c r="C166" i="2"/>
  <c r="C268" i="2" s="1"/>
  <c r="C222" i="2"/>
  <c r="C324" i="2" s="1"/>
  <c r="C237" i="2"/>
  <c r="C339" i="2" s="1"/>
  <c r="C176" i="2"/>
  <c r="C278" i="2" s="1"/>
  <c r="J329" i="2"/>
  <c r="F259" i="2"/>
  <c r="L183" i="2"/>
  <c r="L285" i="2" s="1"/>
  <c r="K202" i="2"/>
  <c r="K304" i="2" s="1"/>
  <c r="I166" i="2"/>
  <c r="I268" i="2" s="1"/>
  <c r="F333" i="2"/>
  <c r="F317" i="2"/>
  <c r="L202" i="2"/>
  <c r="L304" i="2" s="1"/>
  <c r="G333" i="2"/>
  <c r="I188" i="2"/>
  <c r="I290" i="2" s="1"/>
  <c r="E348" i="2"/>
  <c r="F276" i="2"/>
  <c r="G326" i="2"/>
  <c r="J154" i="2"/>
  <c r="J256" i="2" s="1"/>
  <c r="L180" i="2"/>
  <c r="L282" i="2" s="1"/>
  <c r="C313" i="2"/>
  <c r="J307" i="2"/>
  <c r="G336" i="2"/>
  <c r="K319" i="2"/>
  <c r="K217" i="2"/>
  <c r="K335" i="2"/>
  <c r="C191" i="2"/>
  <c r="C293" i="2" s="1"/>
  <c r="I248" i="2"/>
  <c r="I350" i="2" s="1"/>
  <c r="C195" i="2"/>
  <c r="C297" i="2" s="1"/>
  <c r="C229" i="2"/>
  <c r="C331" i="2" s="1"/>
  <c r="H165" i="2"/>
  <c r="H267" i="2" s="1"/>
  <c r="H211" i="2"/>
  <c r="H313" i="2" s="1"/>
  <c r="H234" i="2"/>
  <c r="H336" i="2" s="1"/>
  <c r="C214" i="2"/>
  <c r="C316" i="2" s="1"/>
  <c r="C157" i="2"/>
  <c r="C259" i="2" s="1"/>
  <c r="F339" i="2"/>
  <c r="I43" i="2"/>
  <c r="I44" i="2" s="1"/>
  <c r="I45" i="2" s="1"/>
  <c r="I251" i="2"/>
  <c r="D289" i="2"/>
  <c r="E295" i="2"/>
  <c r="C342" i="2"/>
  <c r="C240" i="2"/>
  <c r="L194" i="2"/>
  <c r="L296" i="2" s="1"/>
  <c r="F233" i="2"/>
  <c r="F335" i="2" s="1"/>
  <c r="C346" i="2"/>
  <c r="C231" i="2"/>
  <c r="C333" i="2" s="1"/>
  <c r="G259" i="2"/>
  <c r="C215" i="2"/>
  <c r="C317" i="2" s="1"/>
  <c r="C163" i="2"/>
  <c r="C265" i="2" s="1"/>
  <c r="H235" i="2"/>
  <c r="H337" i="2" s="1"/>
  <c r="H228" i="2"/>
  <c r="H330" i="2" s="1"/>
  <c r="H214" i="2"/>
  <c r="H316" i="2" s="1"/>
  <c r="C187" i="2"/>
  <c r="C289" i="2" s="1"/>
  <c r="H223" i="2"/>
  <c r="H325" i="2" s="1"/>
  <c r="H184" i="2"/>
  <c r="H286" i="2" s="1"/>
  <c r="D247" i="2"/>
  <c r="D349" i="2" s="1"/>
  <c r="D223" i="2"/>
  <c r="D325" i="2" s="1"/>
  <c r="D196" i="2"/>
  <c r="D298" i="2" s="1"/>
  <c r="D181" i="2"/>
  <c r="D232" i="2"/>
  <c r="D334" i="2" s="1"/>
  <c r="D185" i="2"/>
  <c r="D287" i="2" s="1"/>
  <c r="D159" i="2"/>
  <c r="D171" i="2"/>
  <c r="D273" i="2" s="1"/>
  <c r="D188" i="2"/>
  <c r="D290" i="2" s="1"/>
  <c r="D234" i="2"/>
  <c r="D184" i="2"/>
  <c r="D286" i="2" s="1"/>
  <c r="D230" i="2"/>
  <c r="D332" i="2" s="1"/>
  <c r="D156" i="2"/>
  <c r="D258" i="2" s="1"/>
  <c r="D164" i="2"/>
  <c r="D151" i="2"/>
  <c r="D253" i="2" s="1"/>
  <c r="D203" i="2"/>
  <c r="D211" i="2"/>
  <c r="D313" i="2" s="1"/>
  <c r="D215" i="2"/>
  <c r="D317" i="2" s="1"/>
  <c r="D162" i="2"/>
  <c r="D264" i="2" s="1"/>
  <c r="D229" i="2"/>
  <c r="D331" i="2" s="1"/>
  <c r="D243" i="2"/>
  <c r="D345" i="2" s="1"/>
  <c r="D154" i="2"/>
  <c r="D256" i="2" s="1"/>
  <c r="D220" i="2"/>
  <c r="D322" i="2" s="1"/>
  <c r="D183" i="2"/>
  <c r="D285" i="2" s="1"/>
  <c r="D221" i="2"/>
  <c r="D323" i="2" s="1"/>
  <c r="D240" i="2"/>
  <c r="D225" i="2"/>
  <c r="D248" i="2"/>
  <c r="D350" i="2" s="1"/>
  <c r="D174" i="2"/>
  <c r="D238" i="2"/>
  <c r="D217" i="2"/>
  <c r="D319" i="2" s="1"/>
  <c r="D153" i="2"/>
  <c r="D255" i="2" s="1"/>
  <c r="D194" i="2"/>
  <c r="D296" i="2" s="1"/>
  <c r="D224" i="2"/>
  <c r="D326" i="2" s="1"/>
  <c r="D246" i="2"/>
  <c r="D177" i="2"/>
  <c r="D279" i="2" s="1"/>
  <c r="D190" i="2"/>
  <c r="D292" i="2" s="1"/>
  <c r="D245" i="2"/>
  <c r="D347" i="2" s="1"/>
  <c r="D242" i="2"/>
  <c r="D344" i="2" s="1"/>
  <c r="D208" i="2"/>
  <c r="D310" i="2" s="1"/>
  <c r="D201" i="2"/>
  <c r="D303" i="2" s="1"/>
  <c r="D218" i="2"/>
  <c r="D320" i="2" s="1"/>
  <c r="D206" i="2"/>
  <c r="D308" i="2" s="1"/>
  <c r="D231" i="2"/>
  <c r="D333" i="2" s="1"/>
  <c r="D213" i="2"/>
  <c r="D315" i="2" s="1"/>
  <c r="D204" i="2"/>
  <c r="D306" i="2" s="1"/>
  <c r="D186" i="2"/>
  <c r="D288" i="2" s="1"/>
  <c r="D192" i="2"/>
  <c r="D294" i="2" s="1"/>
  <c r="D180" i="2"/>
  <c r="D282" i="2" s="1"/>
  <c r="D191" i="2"/>
  <c r="D293" i="2" s="1"/>
  <c r="D169" i="2"/>
  <c r="D271" i="2" s="1"/>
  <c r="D168" i="2"/>
  <c r="D270" i="2" s="1"/>
  <c r="D210" i="2"/>
  <c r="D312" i="2" s="1"/>
  <c r="D241" i="2"/>
  <c r="D343" i="2" s="1"/>
  <c r="D244" i="2"/>
  <c r="D346" i="2" s="1"/>
  <c r="D202" i="2"/>
  <c r="D149" i="2"/>
  <c r="D43" i="2" s="1"/>
  <c r="D44" i="2" s="1"/>
  <c r="D45" i="2" s="1"/>
  <c r="D189" i="2"/>
  <c r="D291" i="2" s="1"/>
  <c r="D200" i="2"/>
  <c r="D199" i="2"/>
  <c r="D301" i="2" s="1"/>
  <c r="D235" i="2"/>
  <c r="D337" i="2" s="1"/>
  <c r="D158" i="2"/>
  <c r="D260" i="2" s="1"/>
  <c r="D237" i="2"/>
  <c r="D339" i="2" s="1"/>
  <c r="D222" i="2"/>
  <c r="D197" i="2"/>
  <c r="D299" i="2" s="1"/>
  <c r="D165" i="2"/>
  <c r="D267" i="2" s="1"/>
  <c r="D166" i="2"/>
  <c r="D268" i="2" s="1"/>
  <c r="D209" i="2"/>
  <c r="D311" i="2" s="1"/>
  <c r="D207" i="2"/>
  <c r="D309" i="2" s="1"/>
  <c r="D160" i="2"/>
  <c r="D262" i="2" s="1"/>
  <c r="D167" i="2"/>
  <c r="D269" i="2" s="1"/>
  <c r="D172" i="2"/>
  <c r="D274" i="2" s="1"/>
  <c r="D216" i="2"/>
  <c r="D318" i="2" s="1"/>
  <c r="E342" i="2"/>
  <c r="E240" i="2"/>
  <c r="C249" i="2"/>
  <c r="H186" i="2"/>
  <c r="H288" i="2" s="1"/>
  <c r="H161" i="2"/>
  <c r="H263" i="2" s="1"/>
  <c r="J159" i="2"/>
  <c r="J261" i="2" s="1"/>
  <c r="I254" i="2"/>
  <c r="F241" i="2"/>
  <c r="F343" i="2" s="1"/>
  <c r="H156" i="2"/>
  <c r="H258" i="2" s="1"/>
  <c r="D193" i="2"/>
  <c r="D295" i="2" s="1"/>
  <c r="D254" i="2"/>
  <c r="E236" i="2"/>
  <c r="E338" i="2" s="1"/>
  <c r="L217" i="2"/>
  <c r="L319" i="2" s="1"/>
  <c r="C325" i="2"/>
  <c r="H246" i="2"/>
  <c r="H348" i="2" s="1"/>
  <c r="K43" i="2"/>
  <c r="K44" i="2" s="1"/>
  <c r="K45" i="2" s="1"/>
  <c r="K251" i="2"/>
  <c r="C243" i="2"/>
  <c r="J336" i="2"/>
  <c r="J234" i="2"/>
  <c r="J291" i="2"/>
  <c r="J150" i="2"/>
  <c r="J252" i="2" s="1"/>
  <c r="G330" i="2"/>
  <c r="E246" i="2"/>
  <c r="C226" i="2"/>
  <c r="C328" i="2" s="1"/>
  <c r="H174" i="2"/>
  <c r="H276" i="2" s="1"/>
  <c r="C162" i="2"/>
  <c r="C264" i="2" s="1"/>
  <c r="H240" i="2"/>
  <c r="H342" i="2" s="1"/>
  <c r="H157" i="2"/>
  <c r="H259" i="2" s="1"/>
  <c r="H182" i="2"/>
  <c r="H284" i="2" s="1"/>
  <c r="C211" i="2"/>
  <c r="L239" i="2"/>
  <c r="L341" i="2" s="1"/>
  <c r="L247" i="2"/>
  <c r="L349" i="2" s="1"/>
  <c r="L233" i="2"/>
  <c r="L335" i="2" s="1"/>
  <c r="L165" i="2"/>
  <c r="L267" i="2" s="1"/>
  <c r="L190" i="2"/>
  <c r="L292" i="2" s="1"/>
  <c r="L214" i="2"/>
  <c r="L316" i="2" s="1"/>
  <c r="L205" i="2"/>
  <c r="L307" i="2" s="1"/>
  <c r="L188" i="2"/>
  <c r="L290" i="2" s="1"/>
  <c r="L157" i="2"/>
  <c r="L259" i="2" s="1"/>
  <c r="L215" i="2"/>
  <c r="L317" i="2" s="1"/>
  <c r="L160" i="2"/>
  <c r="L262" i="2" s="1"/>
  <c r="L241" i="2"/>
  <c r="L343" i="2" s="1"/>
  <c r="L191" i="2"/>
  <c r="L293" i="2" s="1"/>
  <c r="L178" i="2"/>
  <c r="L280" i="2" s="1"/>
  <c r="L249" i="2"/>
  <c r="L351" i="2" s="1"/>
  <c r="L240" i="2"/>
  <c r="L342" i="2" s="1"/>
  <c r="L216" i="2"/>
  <c r="L318" i="2" s="1"/>
  <c r="L201" i="2"/>
  <c r="L189" i="2"/>
  <c r="L291" i="2" s="1"/>
  <c r="L210" i="2"/>
  <c r="L312" i="2" s="1"/>
  <c r="L207" i="2"/>
  <c r="L309" i="2" s="1"/>
  <c r="L203" i="2"/>
  <c r="L305" i="2" s="1"/>
  <c r="L161" i="2"/>
  <c r="L263" i="2" s="1"/>
  <c r="L192" i="2"/>
  <c r="L294" i="2" s="1"/>
  <c r="L221" i="2"/>
  <c r="L323" i="2" s="1"/>
  <c r="L213" i="2"/>
  <c r="L315" i="2" s="1"/>
  <c r="L223" i="2"/>
  <c r="L325" i="2" s="1"/>
  <c r="L212" i="2"/>
  <c r="L314" i="2" s="1"/>
  <c r="L166" i="2"/>
  <c r="L268" i="2" s="1"/>
  <c r="L167" i="2"/>
  <c r="L269" i="2" s="1"/>
  <c r="L211" i="2"/>
  <c r="L313" i="2" s="1"/>
  <c r="L236" i="2"/>
  <c r="L338" i="2" s="1"/>
  <c r="L228" i="2"/>
  <c r="L330" i="2" s="1"/>
  <c r="L174" i="2"/>
  <c r="L276" i="2" s="1"/>
  <c r="L169" i="2"/>
  <c r="L271" i="2" s="1"/>
  <c r="L175" i="2"/>
  <c r="L277" i="2" s="1"/>
  <c r="L229" i="2"/>
  <c r="L331" i="2" s="1"/>
  <c r="L225" i="2"/>
  <c r="L327" i="2" s="1"/>
  <c r="L237" i="2"/>
  <c r="L195" i="2"/>
  <c r="L297" i="2" s="1"/>
  <c r="L200" i="2"/>
  <c r="L302" i="2" s="1"/>
  <c r="L182" i="2"/>
  <c r="L193" i="2"/>
  <c r="L295" i="2" s="1"/>
  <c r="L208" i="2"/>
  <c r="L310" i="2" s="1"/>
  <c r="D276" i="2"/>
  <c r="D304" i="2"/>
  <c r="C212" i="2"/>
  <c r="C314" i="2" s="1"/>
  <c r="C235" i="2"/>
  <c r="C337" i="2" s="1"/>
  <c r="F234" i="2"/>
  <c r="F336" i="2" s="1"/>
  <c r="E206" i="2"/>
  <c r="E308" i="2" s="1"/>
  <c r="E245" i="2"/>
  <c r="E347" i="2" s="1"/>
  <c r="E182" i="2"/>
  <c r="E284" i="2" s="1"/>
  <c r="E218" i="2"/>
  <c r="E320" i="2" s="1"/>
  <c r="E239" i="2"/>
  <c r="E341" i="2" s="1"/>
  <c r="E211" i="2"/>
  <c r="E216" i="2"/>
  <c r="E318" i="2" s="1"/>
  <c r="E185" i="2"/>
  <c r="E287" i="2" s="1"/>
  <c r="E209" i="2"/>
  <c r="E311" i="2" s="1"/>
  <c r="E184" i="2"/>
  <c r="E286" i="2" s="1"/>
  <c r="E195" i="2"/>
  <c r="E297" i="2" s="1"/>
  <c r="E199" i="2"/>
  <c r="E301" i="2" s="1"/>
  <c r="E234" i="2"/>
  <c r="E157" i="2"/>
  <c r="E259" i="2" s="1"/>
  <c r="E191" i="2"/>
  <c r="E293" i="2" s="1"/>
  <c r="E225" i="2"/>
  <c r="E169" i="2"/>
  <c r="E271" i="2" s="1"/>
  <c r="E155" i="2"/>
  <c r="E257" i="2" s="1"/>
  <c r="E238" i="2"/>
  <c r="E340" i="2" s="1"/>
  <c r="E247" i="2"/>
  <c r="E349" i="2" s="1"/>
  <c r="E242" i="2"/>
  <c r="E344" i="2" s="1"/>
  <c r="E180" i="2"/>
  <c r="E282" i="2" s="1"/>
  <c r="E164" i="2"/>
  <c r="E266" i="2" s="1"/>
  <c r="E208" i="2"/>
  <c r="E310" i="2" s="1"/>
  <c r="E189" i="2"/>
  <c r="E291" i="2" s="1"/>
  <c r="I238" i="2"/>
  <c r="I340" i="2" s="1"/>
  <c r="F255" i="2"/>
  <c r="F153" i="2"/>
  <c r="D330" i="2"/>
  <c r="D280" i="2"/>
  <c r="G322" i="2"/>
  <c r="G220" i="2"/>
  <c r="H251" i="2"/>
  <c r="K195" i="2"/>
  <c r="K297" i="2" s="1"/>
  <c r="H159" i="2"/>
  <c r="H261" i="2" s="1"/>
  <c r="C228" i="2"/>
  <c r="D327" i="2"/>
  <c r="D336" i="2"/>
  <c r="H321" i="2"/>
  <c r="E333" i="2"/>
  <c r="C257" i="2"/>
  <c r="F174" i="2"/>
  <c r="H154" i="2"/>
  <c r="H256" i="2" s="1"/>
  <c r="E174" i="2"/>
  <c r="H243" i="2"/>
  <c r="H345" i="2" s="1"/>
  <c r="H238" i="2"/>
  <c r="H340" i="2" s="1"/>
  <c r="E181" i="2"/>
  <c r="E283" i="2" s="1"/>
  <c r="G310" i="2"/>
  <c r="L168" i="2"/>
  <c r="L270" i="2" s="1"/>
  <c r="G175" i="2"/>
  <c r="G277" i="2" s="1"/>
  <c r="H194" i="2"/>
  <c r="H296" i="2" s="1"/>
  <c r="G162" i="2"/>
  <c r="G264" i="2" s="1"/>
  <c r="K309" i="2"/>
  <c r="C150" i="2"/>
  <c r="C252" i="2" s="1"/>
  <c r="C330" i="2"/>
  <c r="E210" i="2"/>
  <c r="E312" i="2" s="1"/>
  <c r="H217" i="2"/>
  <c r="H319" i="2" s="1"/>
  <c r="C154" i="2"/>
  <c r="C256" i="2" s="1"/>
  <c r="H202" i="2"/>
  <c r="H304" i="2" s="1"/>
  <c r="H329" i="2"/>
  <c r="J230" i="2"/>
  <c r="J332" i="2" s="1"/>
  <c r="C168" i="2"/>
  <c r="C270" i="2" s="1"/>
  <c r="J205" i="2"/>
  <c r="C189" i="2"/>
  <c r="C291" i="2" s="1"/>
  <c r="C173" i="2"/>
  <c r="C275" i="2" s="1"/>
  <c r="C161" i="2"/>
  <c r="C263" i="2" s="1"/>
  <c r="H237" i="2"/>
  <c r="H339" i="2" s="1"/>
  <c r="C178" i="2"/>
  <c r="C280" i="2" s="1"/>
  <c r="L248" i="2"/>
  <c r="D239" i="2"/>
  <c r="D341" i="2" s="1"/>
  <c r="E165" i="2"/>
  <c r="L150" i="2"/>
  <c r="L252" i="2" s="1"/>
  <c r="C184" i="2"/>
  <c r="C286" i="2" s="1"/>
  <c r="J315" i="2"/>
  <c r="C208" i="2"/>
  <c r="C310" i="2" s="1"/>
  <c r="J341" i="2"/>
  <c r="C218" i="2"/>
  <c r="C320" i="2" s="1"/>
  <c r="J43" i="2"/>
  <c r="J44" i="2" s="1"/>
  <c r="J45" i="2" s="1"/>
  <c r="J251" i="2"/>
  <c r="K225" i="2"/>
  <c r="K327" i="2" s="1"/>
  <c r="C190" i="2"/>
  <c r="C182" i="2"/>
  <c r="C284" i="2" s="1"/>
  <c r="I273" i="2"/>
  <c r="G216" i="2"/>
  <c r="G318" i="2" s="1"/>
  <c r="C338" i="2"/>
  <c r="C236" i="2"/>
  <c r="J222" i="2"/>
  <c r="J324" i="2" s="1"/>
  <c r="L332" i="2"/>
  <c r="J238" i="2"/>
  <c r="J340" i="2" s="1"/>
  <c r="D259" i="2"/>
  <c r="F192" i="2"/>
  <c r="F294" i="2" s="1"/>
  <c r="I314" i="2"/>
  <c r="H171" i="2"/>
  <c r="H273" i="2" s="1"/>
  <c r="G224" i="2"/>
  <c r="I171" i="2"/>
  <c r="E243" i="2"/>
  <c r="E345" i="2" s="1"/>
  <c r="H168" i="2"/>
  <c r="H270" i="2" s="1"/>
  <c r="C248" i="2"/>
  <c r="C350" i="2" s="1"/>
  <c r="C179" i="2"/>
  <c r="C281" i="2" s="1"/>
  <c r="C180" i="2"/>
  <c r="C282" i="2" s="1"/>
  <c r="L153" i="2"/>
  <c r="L255" i="2" s="1"/>
  <c r="D249" i="2"/>
  <c r="D351" i="2" s="1"/>
  <c r="L171" i="2"/>
  <c r="L273" i="2" s="1"/>
  <c r="E154" i="2"/>
  <c r="E256" i="2" s="1"/>
  <c r="L198" i="2"/>
  <c r="L300" i="2" s="1"/>
  <c r="F215" i="2"/>
  <c r="D150" i="2"/>
  <c r="D252" i="2" s="1"/>
  <c r="D195" i="2"/>
  <c r="D297" i="2" s="1"/>
  <c r="E212" i="2"/>
  <c r="E314" i="2" s="1"/>
  <c r="L170" i="2"/>
  <c r="L272" i="2" s="1"/>
  <c r="D321" i="2"/>
  <c r="J278" i="2"/>
  <c r="I327" i="2"/>
  <c r="E300" i="2"/>
  <c r="G338" i="2"/>
  <c r="K346" i="2"/>
  <c r="F281" i="2"/>
  <c r="E330" i="2"/>
  <c r="G345" i="2"/>
  <c r="K334" i="2"/>
  <c r="H230" i="2"/>
  <c r="H332" i="2" s="1"/>
  <c r="J310" i="2"/>
  <c r="H343" i="2"/>
  <c r="C305" i="2"/>
  <c r="H260" i="2"/>
  <c r="H189" i="2"/>
  <c r="F247" i="2"/>
  <c r="F349" i="2" s="1"/>
  <c r="E166" i="2"/>
  <c r="E268" i="2" s="1"/>
  <c r="I179" i="2"/>
  <c r="I281" i="2" s="1"/>
  <c r="H166" i="2"/>
  <c r="H268" i="2" s="1"/>
  <c r="H244" i="2"/>
  <c r="H346" i="2" s="1"/>
  <c r="I206" i="2"/>
  <c r="I308" i="2" s="1"/>
  <c r="E241" i="2"/>
  <c r="E343" i="2" s="1"/>
  <c r="E203" i="2"/>
  <c r="E305" i="2" s="1"/>
  <c r="E227" i="2"/>
  <c r="E329" i="2" s="1"/>
  <c r="H209" i="2"/>
  <c r="H311" i="2" s="1"/>
  <c r="E224" i="2"/>
  <c r="E326" i="2" s="1"/>
  <c r="J316" i="2"/>
  <c r="E198" i="2"/>
  <c r="K213" i="2"/>
  <c r="K315" i="2" s="1"/>
  <c r="J313" i="2"/>
  <c r="E272" i="2"/>
  <c r="H318" i="2"/>
  <c r="D348" i="2"/>
  <c r="I302" i="2"/>
  <c r="D263" i="2"/>
  <c r="D307" i="2"/>
  <c r="L339" i="2"/>
  <c r="L329" i="2"/>
  <c r="D324" i="2"/>
  <c r="L324" i="2"/>
  <c r="G335" i="2"/>
  <c r="I322" i="2"/>
  <c r="E350" i="2"/>
  <c r="G307" i="2"/>
  <c r="E328" i="2"/>
  <c r="H180" i="2"/>
  <c r="H282" i="2" s="1"/>
  <c r="F171" i="2"/>
  <c r="F273" i="2" s="1"/>
  <c r="E149" i="2"/>
  <c r="E153" i="2"/>
  <c r="E255" i="2" s="1"/>
  <c r="H203" i="2"/>
  <c r="H305" i="2" s="1"/>
  <c r="H170" i="2"/>
  <c r="H272" i="2" s="1"/>
  <c r="I170" i="2"/>
  <c r="I272" i="2" s="1"/>
  <c r="E183" i="2"/>
  <c r="E285" i="2" s="1"/>
  <c r="I169" i="2"/>
  <c r="I271" i="2" s="1"/>
  <c r="C225" i="2"/>
  <c r="C327" i="2" s="1"/>
  <c r="I167" i="2"/>
  <c r="I269" i="2" s="1"/>
  <c r="C213" i="2"/>
  <c r="C315" i="2" s="1"/>
  <c r="L253" i="2"/>
  <c r="L344" i="2"/>
  <c r="E339" i="2"/>
  <c r="H299" i="2"/>
  <c r="L337" i="2"/>
  <c r="I348" i="2"/>
  <c r="I335" i="2"/>
  <c r="K261" i="2"/>
  <c r="G319" i="2"/>
  <c r="K311" i="2"/>
  <c r="L242" i="2"/>
  <c r="D342" i="2"/>
  <c r="C241" i="2"/>
  <c r="C343" i="2" s="1"/>
  <c r="H158" i="2"/>
  <c r="D283" i="2"/>
  <c r="F286" i="2"/>
  <c r="E281" i="2"/>
  <c r="C348" i="2"/>
  <c r="K307" i="2"/>
  <c r="L345" i="2"/>
  <c r="G282" i="2"/>
  <c r="C269" i="2"/>
  <c r="I326" i="2"/>
  <c r="K302" i="2"/>
  <c r="F180" i="2"/>
  <c r="F282" i="2" s="1"/>
  <c r="H181" i="2"/>
  <c r="H283" i="2" s="1"/>
  <c r="I181" i="2"/>
  <c r="I283" i="2" s="1"/>
  <c r="E204" i="2"/>
  <c r="E306" i="2" s="1"/>
  <c r="H177" i="2"/>
  <c r="H279" i="2" s="1"/>
  <c r="I195" i="2"/>
  <c r="I297" i="2" s="1"/>
  <c r="E173" i="2"/>
  <c r="E275" i="2" s="1"/>
  <c r="E228" i="2"/>
  <c r="H164" i="2"/>
  <c r="H266" i="2" s="1"/>
  <c r="F232" i="2"/>
  <c r="F334" i="2" s="1"/>
  <c r="F198" i="2"/>
  <c r="F300" i="2" s="1"/>
  <c r="E188" i="2"/>
  <c r="E290" i="2" s="1"/>
  <c r="K245" i="2"/>
  <c r="K347" i="2" s="1"/>
  <c r="F200" i="2"/>
  <c r="F302" i="2" s="1"/>
  <c r="F172" i="2"/>
  <c r="F274" i="2" s="1"/>
  <c r="F163" i="2"/>
  <c r="F265" i="2" s="1"/>
  <c r="F155" i="2"/>
  <c r="F257" i="2" s="1"/>
  <c r="F168" i="2"/>
  <c r="F270" i="2" s="1"/>
  <c r="F245" i="2"/>
  <c r="F347" i="2" s="1"/>
  <c r="F197" i="2"/>
  <c r="F299" i="2" s="1"/>
  <c r="F187" i="2"/>
  <c r="F289" i="2" s="1"/>
  <c r="F222" i="2"/>
  <c r="F324" i="2" s="1"/>
  <c r="F150" i="2"/>
  <c r="F252" i="2" s="1"/>
  <c r="F159" i="2"/>
  <c r="F261" i="2" s="1"/>
  <c r="F213" i="2"/>
  <c r="F315" i="2" s="1"/>
  <c r="F152" i="2"/>
  <c r="F254" i="2" s="1"/>
  <c r="F239" i="2"/>
  <c r="F341" i="2" s="1"/>
  <c r="F221" i="2"/>
  <c r="F323" i="2" s="1"/>
  <c r="F183" i="2"/>
  <c r="F285" i="2" s="1"/>
  <c r="F164" i="2"/>
  <c r="F266" i="2" s="1"/>
  <c r="F249" i="2"/>
  <c r="F351" i="2" s="1"/>
  <c r="F210" i="2"/>
  <c r="F312" i="2" s="1"/>
  <c r="F230" i="2"/>
  <c r="F332" i="2" s="1"/>
  <c r="F166" i="2"/>
  <c r="F268" i="2" s="1"/>
  <c r="F280" i="2"/>
  <c r="L288" i="2"/>
  <c r="K283" i="2"/>
  <c r="C351" i="2"/>
  <c r="H310" i="2"/>
  <c r="L284" i="2"/>
  <c r="G271" i="2"/>
  <c r="I299" i="2"/>
  <c r="C227" i="2"/>
  <c r="C329" i="2" s="1"/>
  <c r="F243" i="2"/>
  <c r="F345" i="2" s="1"/>
  <c r="F181" i="2"/>
  <c r="F283" i="2" s="1"/>
  <c r="I227" i="2"/>
  <c r="I329" i="2" s="1"/>
  <c r="F176" i="2"/>
  <c r="F278" i="2" s="1"/>
  <c r="H231" i="2"/>
  <c r="H333" i="2" s="1"/>
  <c r="K200" i="2"/>
  <c r="F167" i="2"/>
  <c r="F269" i="2" s="1"/>
  <c r="E235" i="2"/>
  <c r="E337" i="2" s="1"/>
  <c r="E201" i="2"/>
  <c r="E303" i="2" s="1"/>
  <c r="E167" i="2"/>
  <c r="E269" i="2" s="1"/>
  <c r="H190" i="2"/>
  <c r="H292" i="2" s="1"/>
  <c r="H233" i="2"/>
  <c r="H335" i="2" s="1"/>
  <c r="I190" i="2"/>
  <c r="I292" i="2" s="1"/>
  <c r="E248" i="2"/>
  <c r="J196" i="2"/>
  <c r="J298" i="2" s="1"/>
  <c r="I158" i="2"/>
  <c r="I260" i="2" s="1"/>
  <c r="G227" i="2"/>
  <c r="G329" i="2" s="1"/>
  <c r="G191" i="2"/>
  <c r="G293" i="2" s="1"/>
  <c r="G168" i="2"/>
  <c r="G270" i="2" s="1"/>
  <c r="G204" i="2"/>
  <c r="G306" i="2" s="1"/>
  <c r="G200" i="2"/>
  <c r="G302" i="2" s="1"/>
  <c r="G155" i="2"/>
  <c r="G257" i="2" s="1"/>
  <c r="G206" i="2"/>
  <c r="G308" i="2" s="1"/>
  <c r="G152" i="2"/>
  <c r="G254" i="2" s="1"/>
  <c r="G213" i="2"/>
  <c r="G315" i="2" s="1"/>
  <c r="G196" i="2"/>
  <c r="G298" i="2" s="1"/>
  <c r="G160" i="2"/>
  <c r="G262" i="2" s="1"/>
  <c r="G150" i="2"/>
  <c r="G252" i="2" s="1"/>
  <c r="G42" i="2" s="1"/>
  <c r="G214" i="2"/>
  <c r="G316" i="2" s="1"/>
  <c r="G172" i="2"/>
  <c r="G274" i="2" s="1"/>
  <c r="G202" i="2"/>
  <c r="G304" i="2" s="1"/>
  <c r="G166" i="2"/>
  <c r="G268" i="2" s="1"/>
  <c r="G239" i="2"/>
  <c r="G341" i="2" s="1"/>
  <c r="G230" i="2"/>
  <c r="G332" i="2" s="1"/>
  <c r="G193" i="2"/>
  <c r="G295" i="2" s="1"/>
  <c r="G156" i="2"/>
  <c r="G258" i="2" s="1"/>
  <c r="G249" i="2"/>
  <c r="G210" i="2"/>
  <c r="G312" i="2" s="1"/>
  <c r="I277" i="2"/>
  <c r="L306" i="2"/>
  <c r="H291" i="2"/>
  <c r="G286" i="2"/>
  <c r="D251" i="2"/>
  <c r="E313" i="2"/>
  <c r="G287" i="2"/>
  <c r="K348" i="2"/>
  <c r="K273" i="2"/>
  <c r="G331" i="2"/>
  <c r="G296" i="2"/>
  <c r="K230" i="2"/>
  <c r="K332" i="2" s="1"/>
  <c r="C203" i="2"/>
  <c r="H169" i="2"/>
  <c r="H271" i="2" s="1"/>
  <c r="H212" i="2"/>
  <c r="H314" i="2" s="1"/>
  <c r="F220" i="2"/>
  <c r="F322" i="2" s="1"/>
  <c r="F179" i="2"/>
  <c r="E193" i="2"/>
  <c r="H247" i="2"/>
  <c r="H349" i="2" s="1"/>
  <c r="L235" i="2"/>
  <c r="J187" i="2"/>
  <c r="J289" i="2" s="1"/>
  <c r="E150" i="2"/>
  <c r="E252" i="2" s="1"/>
  <c r="I209" i="2"/>
  <c r="I311" i="2" s="1"/>
  <c r="I231" i="2"/>
  <c r="I196" i="2"/>
  <c r="I298" i="2" s="1"/>
  <c r="I176" i="2"/>
  <c r="I278" i="2" s="1"/>
  <c r="I236" i="2"/>
  <c r="I338" i="2" s="1"/>
  <c r="I204" i="2"/>
  <c r="I306" i="2" s="1"/>
  <c r="I150" i="2"/>
  <c r="I252" i="2" s="1"/>
  <c r="I241" i="2"/>
  <c r="I343" i="2" s="1"/>
  <c r="I187" i="2"/>
  <c r="I289" i="2" s="1"/>
  <c r="I168" i="2"/>
  <c r="I270" i="2" s="1"/>
  <c r="I156" i="2"/>
  <c r="I258" i="2" s="1"/>
  <c r="I239" i="2"/>
  <c r="I341" i="2" s="1"/>
  <c r="I219" i="2"/>
  <c r="I321" i="2" s="1"/>
  <c r="I183" i="2"/>
  <c r="I285" i="2" s="1"/>
  <c r="I191" i="2"/>
  <c r="I293" i="2" s="1"/>
  <c r="I210" i="2"/>
  <c r="I312" i="2" s="1"/>
  <c r="I201" i="2"/>
  <c r="I303" i="2" s="1"/>
  <c r="I174" i="2"/>
  <c r="I276" i="2" s="1"/>
  <c r="I164" i="2"/>
  <c r="L347" i="2"/>
  <c r="E324" i="2"/>
  <c r="G243" i="2"/>
  <c r="L303" i="2"/>
  <c r="I253" i="2"/>
  <c r="E302" i="2"/>
  <c r="L289" i="2"/>
  <c r="G351" i="2"/>
  <c r="E276" i="2"/>
  <c r="K333" i="2"/>
  <c r="F193" i="2"/>
  <c r="F295" i="2" s="1"/>
  <c r="F194" i="2"/>
  <c r="F296" i="2" s="1"/>
  <c r="H207" i="2"/>
  <c r="H309" i="2" s="1"/>
  <c r="H149" i="2"/>
  <c r="H43" i="2" s="1"/>
  <c r="H44" i="2" s="1"/>
  <c r="H45" i="2" s="1"/>
  <c r="H216" i="2"/>
  <c r="H188" i="2"/>
  <c r="K249" i="2"/>
  <c r="K351" i="2" s="1"/>
  <c r="F235" i="2"/>
  <c r="F337" i="2" s="1"/>
  <c r="F224" i="2"/>
  <c r="F326" i="2" s="1"/>
  <c r="E205" i="2"/>
  <c r="G182" i="2"/>
  <c r="G284" i="2" s="1"/>
  <c r="J160" i="2"/>
  <c r="J262" i="2" s="1"/>
  <c r="H206" i="2"/>
  <c r="H308" i="2" s="1"/>
  <c r="K172" i="2"/>
  <c r="K274" i="2" s="1"/>
  <c r="K206" i="2"/>
  <c r="K308" i="2" s="1"/>
  <c r="E172" i="2"/>
  <c r="E274" i="2" s="1"/>
  <c r="I234" i="2"/>
  <c r="I336" i="2" s="1"/>
  <c r="F238" i="2"/>
  <c r="F340" i="2" s="1"/>
  <c r="G195" i="2"/>
  <c r="G297" i="2" s="1"/>
  <c r="J217" i="2"/>
  <c r="J319" i="2" s="1"/>
  <c r="J180" i="2"/>
  <c r="J282" i="2" s="1"/>
  <c r="J225" i="2"/>
  <c r="J327" i="2" s="1"/>
  <c r="J162" i="2"/>
  <c r="J264" i="2" s="1"/>
  <c r="J213" i="2"/>
  <c r="J176" i="2"/>
  <c r="J167" i="2"/>
  <c r="J269" i="2" s="1"/>
  <c r="J206" i="2"/>
  <c r="J308" i="2" s="1"/>
  <c r="J188" i="2"/>
  <c r="J290" i="2" s="1"/>
  <c r="J241" i="2"/>
  <c r="J343" i="2" s="1"/>
  <c r="J158" i="2"/>
  <c r="J260" i="2" s="1"/>
  <c r="J239" i="2"/>
  <c r="J210" i="2"/>
  <c r="J312" i="2" s="1"/>
  <c r="J200" i="2"/>
  <c r="J302" i="2" s="1"/>
  <c r="J227" i="2"/>
  <c r="J156" i="2"/>
  <c r="J258" i="2" s="1"/>
  <c r="J191" i="2"/>
  <c r="J293" i="2" s="1"/>
  <c r="D305" i="2"/>
  <c r="L340" i="2"/>
  <c r="K305" i="2"/>
  <c r="J181" i="2"/>
  <c r="J283" i="2" s="1"/>
  <c r="E162" i="2"/>
  <c r="E264" i="2" s="1"/>
  <c r="J214" i="2"/>
  <c r="F175" i="2"/>
  <c r="F277" i="2" s="1"/>
  <c r="C347" i="2"/>
  <c r="G272" i="2"/>
  <c r="J296" i="2"/>
  <c r="I291" i="2"/>
  <c r="I318" i="2"/>
  <c r="J304" i="2"/>
  <c r="G292" i="2"/>
  <c r="G321" i="2"/>
  <c r="E336" i="2"/>
  <c r="H290" i="2"/>
  <c r="J226" i="2"/>
  <c r="J328" i="2" s="1"/>
  <c r="I198" i="2"/>
  <c r="I300" i="2" s="1"/>
  <c r="J198" i="2"/>
  <c r="J300" i="2" s="1"/>
  <c r="F211" i="2"/>
  <c r="F313" i="2" s="1"/>
  <c r="F185" i="2"/>
  <c r="F287" i="2" s="1"/>
  <c r="E190" i="2"/>
  <c r="E292" i="2" s="1"/>
  <c r="I220" i="2"/>
  <c r="L220" i="2"/>
  <c r="L322" i="2" s="1"/>
  <c r="H192" i="2"/>
  <c r="H294" i="2" s="1"/>
  <c r="H150" i="2"/>
  <c r="H252" i="2" s="1"/>
  <c r="K227" i="2"/>
  <c r="K329" i="2" s="1"/>
  <c r="F208" i="2"/>
  <c r="F310" i="2" s="1"/>
  <c r="J185" i="2"/>
  <c r="J287" i="2" s="1"/>
  <c r="J163" i="2"/>
  <c r="J265" i="2" s="1"/>
  <c r="H241" i="2"/>
  <c r="F209" i="2"/>
  <c r="F311" i="2" s="1"/>
  <c r="L243" i="2"/>
  <c r="J209" i="2"/>
  <c r="J311" i="2" s="1"/>
  <c r="J174" i="2"/>
  <c r="J276" i="2" s="1"/>
  <c r="E237" i="2"/>
  <c r="G198" i="2"/>
  <c r="G300" i="2" s="1"/>
  <c r="J240" i="2"/>
  <c r="J342" i="2" s="1"/>
  <c r="K197" i="2"/>
  <c r="K299" i="2" s="1"/>
  <c r="K168" i="2"/>
  <c r="K270" i="2" s="1"/>
  <c r="K176" i="2"/>
  <c r="K278" i="2" s="1"/>
  <c r="K179" i="2"/>
  <c r="K281" i="2" s="1"/>
  <c r="K160" i="2"/>
  <c r="K262" i="2" s="1"/>
  <c r="K178" i="2"/>
  <c r="K280" i="2" s="1"/>
  <c r="K241" i="2"/>
  <c r="K343" i="2" s="1"/>
  <c r="K231" i="2"/>
  <c r="K167" i="2"/>
  <c r="K269" i="2" s="1"/>
  <c r="K158" i="2"/>
  <c r="K260" i="2" s="1"/>
  <c r="K193" i="2"/>
  <c r="K295" i="2" s="1"/>
  <c r="K204" i="2"/>
  <c r="K306" i="2" s="1"/>
  <c r="K234" i="2"/>
  <c r="K336" i="2" s="1"/>
  <c r="K201" i="2"/>
  <c r="K303" i="2" s="1"/>
  <c r="K155" i="2"/>
  <c r="K257" i="2" s="1"/>
  <c r="K192" i="2"/>
  <c r="K294" i="2" s="1"/>
  <c r="K174" i="2"/>
  <c r="K276" i="2" s="1"/>
  <c r="K191" i="2"/>
  <c r="K293" i="2" s="1"/>
  <c r="I319" i="2"/>
  <c r="F338" i="2"/>
  <c r="L350" i="2"/>
  <c r="L279" i="2"/>
  <c r="I233" i="2"/>
  <c r="H236" i="2"/>
  <c r="H338" i="2" s="1"/>
  <c r="H196" i="2"/>
  <c r="H298" i="2" s="1"/>
  <c r="H151" i="2"/>
  <c r="H253" i="2" s="1"/>
  <c r="H213" i="2"/>
  <c r="H315" i="2" s="1"/>
  <c r="H227" i="2"/>
  <c r="H191" i="2"/>
  <c r="H293" i="2" s="1"/>
  <c r="H179" i="2"/>
  <c r="H281" i="2" s="1"/>
  <c r="H187" i="2"/>
  <c r="H289" i="2" s="1"/>
  <c r="H222" i="2"/>
  <c r="H324" i="2" s="1"/>
  <c r="H204" i="2"/>
  <c r="H306" i="2" s="1"/>
  <c r="H152" i="2"/>
  <c r="H254" i="2" s="1"/>
  <c r="H232" i="2"/>
  <c r="H334" i="2" s="1"/>
  <c r="H215" i="2"/>
  <c r="H317" i="2" s="1"/>
  <c r="H200" i="2"/>
  <c r="H302" i="2" s="1"/>
  <c r="H172" i="2"/>
  <c r="H274" i="2" s="1"/>
  <c r="H193" i="2"/>
  <c r="H295" i="2" s="1"/>
  <c r="H239" i="2"/>
  <c r="H341" i="2" s="1"/>
  <c r="H219" i="2"/>
  <c r="H210" i="2"/>
  <c r="H312" i="2" s="1"/>
  <c r="H183" i="2"/>
  <c r="H285" i="2" s="1"/>
  <c r="E294" i="2"/>
  <c r="F321" i="2"/>
  <c r="E307" i="2"/>
  <c r="K323" i="2"/>
  <c r="I287" i="2"/>
  <c r="L181" i="2"/>
  <c r="L283" i="2" s="1"/>
  <c r="J165" i="2"/>
  <c r="J267" i="2" s="1"/>
  <c r="F225" i="2"/>
  <c r="F327" i="2" s="1"/>
  <c r="H225" i="2"/>
  <c r="H327" i="2" s="1"/>
  <c r="F196" i="2"/>
  <c r="F298" i="2" s="1"/>
  <c r="H242" i="2"/>
  <c r="H344" i="2" s="1"/>
  <c r="J231" i="2"/>
  <c r="J333" i="2" s="1"/>
  <c r="I211" i="2"/>
  <c r="I313" i="2" s="1"/>
  <c r="K166" i="2"/>
  <c r="K268" i="2" s="1"/>
  <c r="J244" i="2"/>
  <c r="J346" i="2" s="1"/>
  <c r="F212" i="2"/>
  <c r="F314" i="2" s="1"/>
  <c r="E178" i="2"/>
  <c r="E280" i="2" s="1"/>
  <c r="K246" i="2"/>
  <c r="I212" i="2"/>
  <c r="E177" i="2"/>
  <c r="E279" i="2" s="1"/>
  <c r="H185" i="2"/>
  <c r="H287" i="2" s="1"/>
  <c r="E200" i="2"/>
  <c r="F160" i="2"/>
  <c r="F262" i="2" s="1"/>
  <c r="L218" i="2"/>
  <c r="L320" i="2" s="1"/>
  <c r="L209" i="2"/>
  <c r="L311" i="2" s="1"/>
  <c r="L184" i="2"/>
  <c r="L286" i="2" s="1"/>
  <c r="L227" i="2"/>
  <c r="L172" i="2"/>
  <c r="L274" i="2" s="1"/>
  <c r="L155" i="2"/>
  <c r="L257" i="2" s="1"/>
  <c r="F251" i="2"/>
  <c r="K321" i="2"/>
  <c r="C345" i="2"/>
  <c r="I266" i="2"/>
  <c r="D340" i="2"/>
  <c r="E267" i="2"/>
  <c r="C295" i="2"/>
  <c r="L301" i="2"/>
  <c r="K296" i="2"/>
  <c r="D261" i="2"/>
  <c r="J309" i="2"/>
  <c r="G283" i="2"/>
  <c r="C341" i="2"/>
  <c r="I284" i="2"/>
  <c r="H155" i="2"/>
  <c r="H257" i="2" s="1"/>
  <c r="E207" i="2"/>
  <c r="E309" i="2" s="1"/>
  <c r="F186" i="2"/>
  <c r="F288" i="2" s="1"/>
  <c r="H198" i="2"/>
  <c r="H300" i="2" s="1"/>
  <c r="E186" i="2"/>
  <c r="E288" i="2" s="1"/>
  <c r="E229" i="2"/>
  <c r="E331" i="2" s="1"/>
  <c r="I229" i="2"/>
  <c r="I331" i="2" s="1"/>
  <c r="J199" i="2"/>
  <c r="J301" i="2" s="1"/>
  <c r="G246" i="2"/>
  <c r="G348" i="2" s="1"/>
  <c r="I235" i="2"/>
  <c r="I337" i="2" s="1"/>
  <c r="F248" i="2"/>
  <c r="F350" i="2" s="1"/>
  <c r="G215" i="2"/>
  <c r="G317" i="2" s="1"/>
  <c r="G242" i="2"/>
  <c r="G344" i="2" s="1"/>
  <c r="I203" i="2"/>
  <c r="I305" i="2" s="1"/>
  <c r="L187" i="2"/>
  <c r="H245" i="2"/>
  <c r="H347" i="2" s="1"/>
  <c r="I202" i="2"/>
  <c r="C245" i="2"/>
  <c r="C171" i="2"/>
  <c r="C273" i="2" s="1"/>
  <c r="C244" i="2"/>
  <c r="C160" i="2"/>
  <c r="C151" i="2"/>
  <c r="C253" i="2" s="1"/>
  <c r="C185" i="2"/>
  <c r="C287" i="2" s="1"/>
  <c r="C177" i="2"/>
  <c r="C279" i="2" s="1"/>
  <c r="C223" i="2"/>
  <c r="C164" i="2"/>
  <c r="C266" i="2" s="1"/>
  <c r="C206" i="2"/>
  <c r="C308" i="2" s="1"/>
  <c r="C219" i="2"/>
  <c r="C321" i="2" s="1"/>
  <c r="C183" i="2"/>
  <c r="C285" i="2" s="1"/>
  <c r="C175" i="2"/>
  <c r="C277" i="2" s="1"/>
  <c r="D302" i="2"/>
  <c r="L336" i="2"/>
  <c r="I264" i="2"/>
  <c r="C292" i="2"/>
  <c r="I304" i="2"/>
  <c r="G299" i="2"/>
  <c r="I263" i="2"/>
  <c r="E327" i="2"/>
  <c r="L299" i="2"/>
  <c r="I328" i="2"/>
  <c r="G343" i="2"/>
  <c r="J281" i="2"/>
  <c r="H224" i="2"/>
  <c r="H326" i="2" s="1"/>
  <c r="F161" i="2"/>
  <c r="F263" i="2" s="1"/>
  <c r="F218" i="2"/>
  <c r="F320" i="2" s="1"/>
  <c r="F173" i="2"/>
  <c r="F275" i="2" s="1"/>
  <c r="K183" i="2"/>
  <c r="K285" i="2" s="1"/>
  <c r="E249" i="2"/>
  <c r="E351" i="2" s="1"/>
  <c r="E217" i="2"/>
  <c r="E319" i="2" s="1"/>
  <c r="E197" i="2"/>
  <c r="E299" i="2" s="1"/>
  <c r="E214" i="2"/>
  <c r="E316" i="2" s="1"/>
  <c r="E196" i="2"/>
  <c r="E298" i="2" s="1"/>
  <c r="E168" i="2"/>
  <c r="E270" i="2" s="1"/>
  <c r="E244" i="2"/>
  <c r="E346" i="2" s="1"/>
  <c r="E223" i="2"/>
  <c r="E325" i="2" s="1"/>
  <c r="E160" i="2"/>
  <c r="E262" i="2" s="1"/>
  <c r="E219" i="2"/>
  <c r="E321" i="2" s="1"/>
  <c r="E221" i="2"/>
  <c r="E323" i="2" s="1"/>
  <c r="E202" i="2"/>
  <c r="E304" i="2" s="1"/>
  <c r="E230" i="2"/>
  <c r="E332" i="2" s="1"/>
  <c r="L42" i="2" l="1"/>
  <c r="E43" i="2"/>
  <c r="E44" i="2" s="1"/>
  <c r="E45" i="2" s="1"/>
  <c r="E251" i="2"/>
  <c r="E42" i="2" s="1"/>
  <c r="H42" i="2"/>
  <c r="I42" i="2"/>
  <c r="C43" i="2"/>
  <c r="C44" i="2" s="1"/>
  <c r="C45" i="2" s="1"/>
  <c r="C32" i="2" s="1"/>
  <c r="C251" i="2"/>
  <c r="C42" i="2" s="1"/>
  <c r="F42" i="2"/>
  <c r="D42" i="2"/>
  <c r="J42" i="2"/>
  <c r="K4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<sst xmlns="http://schemas.openxmlformats.org/spreadsheetml/2006/main" count="68" uniqueCount="61">
  <si>
    <t>series</t>
  </si>
  <si>
    <t>design</t>
  </si>
  <si>
    <t>coll</t>
  </si>
  <si>
    <t>color</t>
  </si>
  <si>
    <t>detail</t>
  </si>
  <si>
    <t>pmax</t>
  </si>
  <si>
    <t>pdens</t>
  </si>
  <si>
    <t>voc</t>
  </si>
  <si>
    <t>isc</t>
  </si>
  <si>
    <t>vmp</t>
  </si>
  <si>
    <t>imp</t>
  </si>
  <si>
    <t>eff</t>
  </si>
  <si>
    <t>weight</t>
  </si>
  <si>
    <t>w</t>
  </si>
  <si>
    <t>h</t>
  </si>
  <si>
    <t>t</t>
  </si>
  <si>
    <t>photo</t>
  </si>
  <si>
    <t>SOLARIX-ME-855</t>
  </si>
  <si>
    <t>Metallic</t>
  </si>
  <si>
    <t>Amaranth red</t>
  </si>
  <si>
    <t>Full surface</t>
  </si>
  <si>
    <t>A1.png</t>
  </si>
  <si>
    <t>1617x670-SOLARIX-ME-855-G-904-MATT-SNOW-s48p1M10HC</t>
  </si>
  <si>
    <t>A2.png</t>
  </si>
  <si>
    <t>1000x500-SOLARIX-ME-855-G-904-MATT-SNOW-s48p1M10HC</t>
  </si>
  <si>
    <t>module_nr</t>
  </si>
  <si>
    <t>module_ID</t>
  </si>
  <si>
    <t>transparency</t>
  </si>
  <si>
    <t>x_width</t>
  </si>
  <si>
    <t>y_width</t>
  </si>
  <si>
    <t>Shingling</t>
  </si>
  <si>
    <t>BackContact</t>
  </si>
  <si>
    <t>User choice</t>
  </si>
  <si>
    <t>cells in series</t>
  </si>
  <si>
    <t>strings in parallel</t>
  </si>
  <si>
    <t>diodes</t>
  </si>
  <si>
    <t>Voc</t>
  </si>
  <si>
    <t>Series name</t>
  </si>
  <si>
    <t>Name</t>
  </si>
  <si>
    <t>module_Isc</t>
  </si>
  <si>
    <t>I0_Cell</t>
  </si>
  <si>
    <t>rs</t>
  </si>
  <si>
    <t>Pmax</t>
  </si>
  <si>
    <t>Vmp</t>
  </si>
  <si>
    <t>Pdens</t>
  </si>
  <si>
    <t>Imp</t>
  </si>
  <si>
    <t>1/FF dFF/dT</t>
  </si>
  <si>
    <t>1/Voc dVoc/dT</t>
  </si>
  <si>
    <t>Case</t>
  </si>
  <si>
    <t>Insulation</t>
  </si>
  <si>
    <t>T [degC]</t>
  </si>
  <si>
    <t>kB*T/q [eV]</t>
  </si>
  <si>
    <t>T[K]</t>
  </si>
  <si>
    <t>T^3*exp(-Vg0/(kT/q))</t>
  </si>
  <si>
    <t>j0-scale factor</t>
  </si>
  <si>
    <t>legend</t>
  </si>
  <si>
    <t>FF0</t>
  </si>
  <si>
    <t>Iph_cell</t>
  </si>
  <si>
    <t>I [A]</t>
  </si>
  <si>
    <t>V [V]</t>
  </si>
  <si>
    <t>P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</si>
</sst>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-* #,##0.00000_-;\-* #,##0.00000_-;_-* &quot;-&quot;??_-;_-@_-"/>
    <numFmt numFmtId="166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165" fontId="0" fillId="0" borderId="0" xfId="1" applyNumberFormat="1" applyFont="1"/>
    <xf numFmtId="10" fontId="0" fillId="0" borderId="0" xfId="2" applyNumberFormat="1" applyFont="1"/>
    <xf numFmtId="9" fontId="0" fillId="0" borderId="0" xfId="0" applyNumberFormat="1"/>
    <xf numFmtId="166" fontId="0" fillId="0" borderId="0" xfId="0" applyNumberForma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el\Downloads\Module-tool_datasheet_test.xlsm" TargetMode="External"/><Relationship Id="rId1" Type="http://schemas.openxmlformats.org/officeDocument/2006/relationships/externalLinkPath" Target="Module-tool_datasheet_te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Settings"/>
      <sheetName val="1.Dashboard"/>
      <sheetName val="2.Designs"/>
      <sheetName val="3.Glass"/>
      <sheetName val="4.Datasheet"/>
      <sheetName val="T1"/>
      <sheetName val="S1"/>
      <sheetName val="S2"/>
      <sheetName val="S3"/>
      <sheetName val="B1"/>
      <sheetName val="B2"/>
      <sheetName val="DS"/>
      <sheetName val="DSSH"/>
      <sheetName val="DSBC"/>
    </sheetNames>
    <sheetDataSet>
      <sheetData sheetId="0"/>
      <sheetData sheetId="1">
        <row r="2">
          <cell r="I2" t="str">
            <v>Shingling G1</v>
          </cell>
        </row>
        <row r="11">
          <cell r="B11" t="str">
            <v>A</v>
          </cell>
          <cell r="D11">
            <v>730</v>
          </cell>
          <cell r="E11">
            <v>1205</v>
          </cell>
          <cell r="I11">
            <v>0.83</v>
          </cell>
          <cell r="M11">
            <v>127.24464768888889</v>
          </cell>
          <cell r="N11">
            <v>144.65372328640811</v>
          </cell>
          <cell r="O11">
            <v>14.888744444444443</v>
          </cell>
          <cell r="P11">
            <v>12.202055555555557</v>
          </cell>
          <cell r="Q11">
            <v>11.216470600000001</v>
          </cell>
          <cell r="R11">
            <v>10.4284769</v>
          </cell>
          <cell r="T11">
            <v>7</v>
          </cell>
          <cell r="AC11">
            <v>120.04110032362462</v>
          </cell>
          <cell r="AD11">
            <v>136.46461697678009</v>
          </cell>
          <cell r="AE11">
            <v>12.876666666666669</v>
          </cell>
          <cell r="AF11">
            <v>10.786666666666667</v>
          </cell>
          <cell r="AG11">
            <v>12.033388349514562</v>
          </cell>
          <cell r="AH11">
            <v>10.209805825242718</v>
          </cell>
        </row>
        <row r="12">
          <cell r="B12" t="str">
            <v>B</v>
          </cell>
          <cell r="D12">
            <v>895</v>
          </cell>
          <cell r="E12">
            <v>1205</v>
          </cell>
          <cell r="I12">
            <v>1</v>
          </cell>
          <cell r="M12">
            <v>188.14926000000003</v>
          </cell>
          <cell r="N12">
            <v>174.45861981038041</v>
          </cell>
          <cell r="O12">
            <v>18.272549999999999</v>
          </cell>
          <cell r="P12">
            <v>14.975250000000001</v>
          </cell>
          <cell r="Q12">
            <v>13.513820000000001</v>
          </cell>
          <cell r="R12">
            <v>12.56443</v>
          </cell>
          <cell r="T12">
            <v>7</v>
          </cell>
          <cell r="AC12">
            <v>192.83710895361381</v>
          </cell>
          <cell r="AD12">
            <v>178.80535844930461</v>
          </cell>
          <cell r="AE12">
            <v>17.16888888888889</v>
          </cell>
          <cell r="AF12">
            <v>14.382222222222222</v>
          </cell>
          <cell r="AG12">
            <v>14.498058252427183</v>
          </cell>
          <cell r="AH12">
            <v>12.300970873786408</v>
          </cell>
        </row>
        <row r="13">
          <cell r="B13" t="str">
            <v>C</v>
          </cell>
          <cell r="D13">
            <v>908</v>
          </cell>
          <cell r="E13">
            <v>1205</v>
          </cell>
          <cell r="I13">
            <v>1</v>
          </cell>
          <cell r="M13">
            <v>195.11775111111112</v>
          </cell>
          <cell r="N13">
            <v>178.32978513820092</v>
          </cell>
          <cell r="O13">
            <v>18.949311111111108</v>
          </cell>
          <cell r="P13">
            <v>15.529888888888889</v>
          </cell>
          <cell r="Q13">
            <v>13.513820000000001</v>
          </cell>
          <cell r="R13">
            <v>12.56443</v>
          </cell>
          <cell r="T13">
            <v>7</v>
          </cell>
          <cell r="AC13">
            <v>216.94174757281556</v>
          </cell>
          <cell r="AD13">
            <v>198.27604106678814</v>
          </cell>
          <cell r="AE13">
            <v>38.630000000000003</v>
          </cell>
          <cell r="AF13">
            <v>32.36</v>
          </cell>
          <cell r="AG13">
            <v>7.2490291262135917</v>
          </cell>
          <cell r="AH13">
            <v>6.150485436893204</v>
          </cell>
        </row>
        <row r="14">
          <cell r="B14" t="str">
            <v>D</v>
          </cell>
          <cell r="D14">
            <v>730</v>
          </cell>
          <cell r="E14">
            <v>915</v>
          </cell>
          <cell r="I14">
            <v>1</v>
          </cell>
          <cell r="M14">
            <v>111.49585777777779</v>
          </cell>
          <cell r="N14">
            <v>166.92246092937762</v>
          </cell>
          <cell r="O14">
            <v>18.949311111111108</v>
          </cell>
          <cell r="P14">
            <v>15.529888888888889</v>
          </cell>
          <cell r="Q14">
            <v>7.7221828571428572</v>
          </cell>
          <cell r="R14">
            <v>7.1796742857142855</v>
          </cell>
          <cell r="T14">
            <v>4</v>
          </cell>
          <cell r="AC14">
            <v>112.48831355627473</v>
          </cell>
          <cell r="AD14">
            <v>168.40828438696718</v>
          </cell>
          <cell r="AE14">
            <v>20.03037037037037</v>
          </cell>
          <cell r="AF14">
            <v>16.779259259259259</v>
          </cell>
          <cell r="AG14">
            <v>7.2490291262135917</v>
          </cell>
          <cell r="AH14">
            <v>6.150485436893204</v>
          </cell>
        </row>
        <row r="15">
          <cell r="B15" t="str">
            <v>E</v>
          </cell>
          <cell r="D15">
            <v>895</v>
          </cell>
          <cell r="E15">
            <v>915</v>
          </cell>
          <cell r="I15">
            <v>1</v>
          </cell>
          <cell r="M15">
            <v>139.36982222222224</v>
          </cell>
          <cell r="N15">
            <v>170.18630793079004</v>
          </cell>
          <cell r="O15">
            <v>18.949311111111108</v>
          </cell>
          <cell r="P15">
            <v>15.529888888888889</v>
          </cell>
          <cell r="Q15">
            <v>9.6527285714285718</v>
          </cell>
          <cell r="R15">
            <v>8.9745928571428575</v>
          </cell>
          <cell r="T15">
            <v>5</v>
          </cell>
          <cell r="AC15">
            <v>144.62783171521039</v>
          </cell>
          <cell r="AD15">
            <v>176.60693191099355</v>
          </cell>
          <cell r="AE15">
            <v>25.753333333333337</v>
          </cell>
          <cell r="AF15">
            <v>21.573333333333334</v>
          </cell>
          <cell r="AG15">
            <v>7.2490291262135917</v>
          </cell>
          <cell r="AH15">
            <v>6.150485436893204</v>
          </cell>
        </row>
        <row r="16">
          <cell r="B16" t="str">
            <v>F</v>
          </cell>
          <cell r="D16">
            <v>908</v>
          </cell>
          <cell r="E16">
            <v>915</v>
          </cell>
          <cell r="I16">
            <v>1</v>
          </cell>
          <cell r="M16">
            <v>139.36982222222224</v>
          </cell>
          <cell r="N16">
            <v>167.74971982164877</v>
          </cell>
          <cell r="O16">
            <v>18.949311111111108</v>
          </cell>
          <cell r="P16">
            <v>15.529888888888889</v>
          </cell>
          <cell r="Q16">
            <v>9.6527285714285718</v>
          </cell>
          <cell r="R16">
            <v>8.9745928571428575</v>
          </cell>
          <cell r="T16">
            <v>5</v>
          </cell>
          <cell r="AC16">
            <v>144.62783171521039</v>
          </cell>
          <cell r="AD16">
            <v>174.07841856865554</v>
          </cell>
          <cell r="AE16">
            <v>25.753333333333337</v>
          </cell>
          <cell r="AF16">
            <v>21.573333333333334</v>
          </cell>
          <cell r="AG16">
            <v>7.2490291262135917</v>
          </cell>
          <cell r="AH16">
            <v>6.150485436893204</v>
          </cell>
        </row>
        <row r="17">
          <cell r="B17" t="str">
            <v>G</v>
          </cell>
          <cell r="D17">
            <v>994</v>
          </cell>
          <cell r="E17">
            <v>915</v>
          </cell>
          <cell r="I17">
            <v>1</v>
          </cell>
          <cell r="M17">
            <v>149.32480952380953</v>
          </cell>
          <cell r="N17">
            <v>164.18160275731935</v>
          </cell>
          <cell r="O17">
            <v>20.302833333333332</v>
          </cell>
          <cell r="P17">
            <v>16.639166666666668</v>
          </cell>
          <cell r="Q17">
            <v>9.6527285714285718</v>
          </cell>
          <cell r="R17">
            <v>8.9745928571428575</v>
          </cell>
          <cell r="T17">
            <v>5</v>
          </cell>
          <cell r="AC17">
            <v>180.78478964401296</v>
          </cell>
          <cell r="AD17">
            <v>198.77163488473238</v>
          </cell>
          <cell r="AE17">
            <v>32.19166666666667</v>
          </cell>
          <cell r="AF17">
            <v>26.966666666666669</v>
          </cell>
          <cell r="AG17">
            <v>7.2490291262135917</v>
          </cell>
          <cell r="AH17">
            <v>6.150485436893204</v>
          </cell>
        </row>
        <row r="18">
          <cell r="B18" t="str">
            <v>H</v>
          </cell>
          <cell r="D18">
            <v>730</v>
          </cell>
          <cell r="E18">
            <v>882</v>
          </cell>
          <cell r="I18">
            <v>1</v>
          </cell>
          <cell r="M18">
            <v>109.50486031746033</v>
          </cell>
          <cell r="N18">
            <v>170.07557592871171</v>
          </cell>
          <cell r="O18">
            <v>14.888744444444443</v>
          </cell>
          <cell r="P18">
            <v>12.202055555555557</v>
          </cell>
          <cell r="Q18">
            <v>9.6527285714285718</v>
          </cell>
          <cell r="R18">
            <v>8.9745928571428575</v>
          </cell>
          <cell r="T18">
            <v>5</v>
          </cell>
          <cell r="AC18">
            <v>112.48831355627473</v>
          </cell>
          <cell r="AD18">
            <v>174.70927461913263</v>
          </cell>
          <cell r="AE18">
            <v>20.03037037037037</v>
          </cell>
          <cell r="AF18">
            <v>16.779259259259259</v>
          </cell>
          <cell r="AG18">
            <v>7.2490291262135917</v>
          </cell>
          <cell r="AH18">
            <v>6.150485436893204</v>
          </cell>
        </row>
        <row r="19">
          <cell r="B19" t="str">
            <v>J</v>
          </cell>
          <cell r="D19">
            <v>895</v>
          </cell>
          <cell r="E19">
            <v>882</v>
          </cell>
          <cell r="I19">
            <v>1</v>
          </cell>
          <cell r="M19">
            <v>134.39232857142858</v>
          </cell>
          <cell r="N19">
            <v>170.24832918003594</v>
          </cell>
          <cell r="O19">
            <v>18.272549999999999</v>
          </cell>
          <cell r="P19">
            <v>14.975250000000001</v>
          </cell>
          <cell r="Q19">
            <v>9.6527285714285718</v>
          </cell>
          <cell r="R19">
            <v>8.9745928571428575</v>
          </cell>
          <cell r="T19">
            <v>5</v>
          </cell>
          <cell r="AC19">
            <v>144.62783171521039</v>
          </cell>
          <cell r="AD19">
            <v>183.21467426140487</v>
          </cell>
          <cell r="AE19">
            <v>25.753333333333337</v>
          </cell>
          <cell r="AF19">
            <v>21.573333333333334</v>
          </cell>
          <cell r="AG19">
            <v>7.2490291262135917</v>
          </cell>
          <cell r="AH19">
            <v>6.150485436893204</v>
          </cell>
        </row>
        <row r="20">
          <cell r="B20" t="str">
            <v>K</v>
          </cell>
          <cell r="D20">
            <v>908</v>
          </cell>
          <cell r="E20">
            <v>882</v>
          </cell>
          <cell r="I20">
            <v>1</v>
          </cell>
          <cell r="M20">
            <v>139.36982222222224</v>
          </cell>
          <cell r="N20">
            <v>174.02606988300298</v>
          </cell>
          <cell r="O20">
            <v>18.949311111111108</v>
          </cell>
          <cell r="P20">
            <v>15.529888888888889</v>
          </cell>
          <cell r="Q20">
            <v>9.6527285714285718</v>
          </cell>
          <cell r="R20">
            <v>8.9745928571428575</v>
          </cell>
          <cell r="T20">
            <v>5</v>
          </cell>
          <cell r="AC20">
            <v>144.62783171521039</v>
          </cell>
          <cell r="AD20">
            <v>180.59155667836714</v>
          </cell>
          <cell r="AE20">
            <v>25.753333333333337</v>
          </cell>
          <cell r="AF20">
            <v>21.573333333333334</v>
          </cell>
          <cell r="AG20">
            <v>7.2490291262135917</v>
          </cell>
          <cell r="AH20">
            <v>6.150485436893204</v>
          </cell>
        </row>
        <row r="21">
          <cell r="B21" t="str">
            <v>M</v>
          </cell>
          <cell r="D21">
            <v>730</v>
          </cell>
          <cell r="E21">
            <v>850</v>
          </cell>
          <cell r="I21">
            <v>1</v>
          </cell>
          <cell r="M21">
            <v>103.53186793650795</v>
          </cell>
          <cell r="N21">
            <v>166.85232544159217</v>
          </cell>
          <cell r="O21">
            <v>17.595788888888887</v>
          </cell>
          <cell r="P21">
            <v>14.420611111111111</v>
          </cell>
          <cell r="Q21">
            <v>7.7221828571428572</v>
          </cell>
          <cell r="R21">
            <v>7.1796742857142855</v>
          </cell>
          <cell r="T21">
            <v>4</v>
          </cell>
          <cell r="AC21">
            <v>112.48831355627473</v>
          </cell>
          <cell r="AD21">
            <v>181.28656495773524</v>
          </cell>
          <cell r="AE21">
            <v>20.03037037037037</v>
          </cell>
          <cell r="AF21">
            <v>16.779259259259259</v>
          </cell>
          <cell r="AG21">
            <v>7.2490291262135917</v>
          </cell>
          <cell r="AH21">
            <v>6.150485436893204</v>
          </cell>
        </row>
        <row r="22">
          <cell r="B22" t="str">
            <v>N</v>
          </cell>
          <cell r="D22">
            <v>895</v>
          </cell>
          <cell r="E22">
            <v>850</v>
          </cell>
          <cell r="I22">
            <v>1</v>
          </cell>
          <cell r="M22">
            <v>129.41483492063492</v>
          </cell>
          <cell r="N22">
            <v>170.11480107871824</v>
          </cell>
          <cell r="O22">
            <v>17.595788888888887</v>
          </cell>
          <cell r="P22">
            <v>14.420611111111111</v>
          </cell>
          <cell r="Q22">
            <v>9.6527285714285718</v>
          </cell>
          <cell r="R22">
            <v>8.9745928571428575</v>
          </cell>
          <cell r="T22">
            <v>5</v>
          </cell>
          <cell r="AC22">
            <v>144.62783171521039</v>
          </cell>
          <cell r="AD22">
            <v>190.11216788065775</v>
          </cell>
          <cell r="AE22">
            <v>25.753333333333337</v>
          </cell>
          <cell r="AF22">
            <v>21.573333333333334</v>
          </cell>
          <cell r="AG22">
            <v>7.2490291262135917</v>
          </cell>
          <cell r="AH22">
            <v>6.150485436893204</v>
          </cell>
        </row>
        <row r="23">
          <cell r="B23" t="str">
            <v>O</v>
          </cell>
          <cell r="D23">
            <v>908</v>
          </cell>
          <cell r="E23">
            <v>850</v>
          </cell>
          <cell r="I23">
            <v>1</v>
          </cell>
          <cell r="M23">
            <v>129.41483492063492</v>
          </cell>
          <cell r="N23">
            <v>167.67923674609344</v>
          </cell>
          <cell r="O23">
            <v>17.595788888888887</v>
          </cell>
          <cell r="P23">
            <v>14.420611111111111</v>
          </cell>
          <cell r="Q23">
            <v>9.6527285714285718</v>
          </cell>
          <cell r="R23">
            <v>8.9745928571428575</v>
          </cell>
          <cell r="T23">
            <v>5</v>
          </cell>
          <cell r="AC23">
            <v>144.62783171521039</v>
          </cell>
          <cell r="AD23">
            <v>187.39029763567035</v>
          </cell>
          <cell r="AE23">
            <v>25.753333333333337</v>
          </cell>
          <cell r="AF23">
            <v>21.573333333333334</v>
          </cell>
          <cell r="AG23">
            <v>7.2490291262135917</v>
          </cell>
          <cell r="AH23">
            <v>6.150485436893204</v>
          </cell>
        </row>
        <row r="24">
          <cell r="B24" t="str">
            <v>P</v>
          </cell>
          <cell r="D24">
            <v>994</v>
          </cell>
          <cell r="E24">
            <v>850</v>
          </cell>
          <cell r="I24">
            <v>1</v>
          </cell>
          <cell r="M24">
            <v>129.41483492063492</v>
          </cell>
          <cell r="N24">
            <v>153.17177763124027</v>
          </cell>
          <cell r="O24">
            <v>17.595788888888887</v>
          </cell>
          <cell r="P24">
            <v>14.420611111111111</v>
          </cell>
          <cell r="Q24">
            <v>9.6527285714285718</v>
          </cell>
          <cell r="R24">
            <v>8.9745928571428575</v>
          </cell>
          <cell r="T24">
            <v>5</v>
          </cell>
          <cell r="AC24">
            <v>160.69759079467818</v>
          </cell>
          <cell r="AD24">
            <v>190.1971722034302</v>
          </cell>
          <cell r="AE24">
            <v>28.614814814814817</v>
          </cell>
          <cell r="AF24">
            <v>23.970370370370372</v>
          </cell>
          <cell r="AG24">
            <v>7.2490291262135917</v>
          </cell>
          <cell r="AH24">
            <v>6.150485436893204</v>
          </cell>
        </row>
        <row r="25">
          <cell r="B25" t="str">
            <v>Q</v>
          </cell>
          <cell r="D25">
            <v>730</v>
          </cell>
          <cell r="E25">
            <v>820</v>
          </cell>
          <cell r="I25">
            <v>1</v>
          </cell>
          <cell r="M25">
            <v>99.549873015873018</v>
          </cell>
          <cell r="N25">
            <v>166.30449885712164</v>
          </cell>
          <cell r="O25">
            <v>16.919027777777774</v>
          </cell>
          <cell r="P25">
            <v>13.865972222222222</v>
          </cell>
          <cell r="Q25">
            <v>7.7221828571428572</v>
          </cell>
          <cell r="R25">
            <v>7.1796742857142855</v>
          </cell>
          <cell r="T25">
            <v>4</v>
          </cell>
          <cell r="AC25">
            <v>112.48831355627473</v>
          </cell>
          <cell r="AD25">
            <v>187.91900026106703</v>
          </cell>
          <cell r="AE25">
            <v>20.03037037037037</v>
          </cell>
          <cell r="AF25">
            <v>16.779259259259259</v>
          </cell>
          <cell r="AG25">
            <v>7.2490291262135917</v>
          </cell>
          <cell r="AH25">
            <v>6.150485436893204</v>
          </cell>
        </row>
        <row r="26">
          <cell r="B26" t="str">
            <v>U</v>
          </cell>
          <cell r="D26">
            <v>995</v>
          </cell>
          <cell r="E26">
            <v>820</v>
          </cell>
          <cell r="I26">
            <v>1</v>
          </cell>
          <cell r="M26">
            <v>124.43734126984127</v>
          </cell>
          <cell r="N26">
            <v>152.51543236896836</v>
          </cell>
          <cell r="O26">
            <v>16.919027777777774</v>
          </cell>
          <cell r="P26">
            <v>13.865972222222222</v>
          </cell>
          <cell r="Q26">
            <v>9.6527285714285718</v>
          </cell>
          <cell r="R26">
            <v>8.9745928571428575</v>
          </cell>
          <cell r="T26">
            <v>5</v>
          </cell>
          <cell r="AC26">
            <v>160.69759079467818</v>
          </cell>
          <cell r="AD26">
            <v>196.95745899580609</v>
          </cell>
          <cell r="AE26">
            <v>28.614814814814817</v>
          </cell>
          <cell r="AF26">
            <v>23.970370370370372</v>
          </cell>
          <cell r="AG26">
            <v>7.2490291262135917</v>
          </cell>
          <cell r="AH26">
            <v>6.150485436893204</v>
          </cell>
        </row>
        <row r="27">
          <cell r="B27" t="str">
            <v>R</v>
          </cell>
          <cell r="D27">
            <v>730</v>
          </cell>
          <cell r="E27">
            <v>790</v>
          </cell>
          <cell r="I27">
            <v>1</v>
          </cell>
          <cell r="M27">
            <v>95.5678780952381</v>
          </cell>
          <cell r="N27">
            <v>165.71506519028628</v>
          </cell>
          <cell r="O27">
            <v>16.242266666666666</v>
          </cell>
          <cell r="P27">
            <v>13.311333333333334</v>
          </cell>
          <cell r="Q27">
            <v>7.7221828571428572</v>
          </cell>
          <cell r="R27">
            <v>7.1796742857142855</v>
          </cell>
          <cell r="T27">
            <v>4</v>
          </cell>
          <cell r="AC27">
            <v>112.48831355627473</v>
          </cell>
          <cell r="AD27">
            <v>195.055164827943</v>
          </cell>
          <cell r="AE27">
            <v>20.03037037037037</v>
          </cell>
          <cell r="AF27">
            <v>16.779259259259259</v>
          </cell>
          <cell r="AG27">
            <v>7.2490291262135917</v>
          </cell>
          <cell r="AH27">
            <v>6.150485436893204</v>
          </cell>
        </row>
        <row r="28">
          <cell r="B28" t="str">
            <v>S</v>
          </cell>
          <cell r="D28">
            <v>895</v>
          </cell>
          <cell r="E28">
            <v>680</v>
          </cell>
          <cell r="I28">
            <v>1</v>
          </cell>
          <cell r="M28">
            <v>99.549873015873018</v>
          </cell>
          <cell r="N28">
            <v>163.57192411415218</v>
          </cell>
          <cell r="O28">
            <v>13.53522222222222</v>
          </cell>
          <cell r="P28">
            <v>11.092777777777778</v>
          </cell>
          <cell r="Q28">
            <v>9.6527285714285718</v>
          </cell>
          <cell r="R28">
            <v>8.9745928571428575</v>
          </cell>
          <cell r="T28">
            <v>5</v>
          </cell>
          <cell r="AC28">
            <v>108.47087378640778</v>
          </cell>
          <cell r="AD28">
            <v>178.23015738811662</v>
          </cell>
          <cell r="AE28">
            <v>19.315000000000001</v>
          </cell>
          <cell r="AF28">
            <v>16.18</v>
          </cell>
          <cell r="AG28">
            <v>7.2490291262135917</v>
          </cell>
          <cell r="AH28">
            <v>6.150485436893204</v>
          </cell>
        </row>
        <row r="29">
          <cell r="B29" t="str">
            <v>T</v>
          </cell>
          <cell r="D29">
            <v>908</v>
          </cell>
          <cell r="E29">
            <v>680</v>
          </cell>
          <cell r="I29">
            <v>1</v>
          </cell>
          <cell r="M29">
            <v>99.549873015873018</v>
          </cell>
          <cell r="N29">
            <v>161.23003533278217</v>
          </cell>
          <cell r="O29">
            <v>13.53522222222222</v>
          </cell>
          <cell r="P29">
            <v>11.092777777777778</v>
          </cell>
          <cell r="Q29">
            <v>9.6527285714285718</v>
          </cell>
          <cell r="R29">
            <v>8.9745928571428575</v>
          </cell>
          <cell r="T29">
            <v>5</v>
          </cell>
          <cell r="AC29">
            <v>108.47087378640778</v>
          </cell>
          <cell r="AD29">
            <v>175.67840403344096</v>
          </cell>
          <cell r="AE29">
            <v>19.315000000000001</v>
          </cell>
          <cell r="AF29">
            <v>16.18</v>
          </cell>
          <cell r="AG29">
            <v>7.2490291262135917</v>
          </cell>
          <cell r="AH29">
            <v>6.150485436893204</v>
          </cell>
        </row>
        <row r="30">
          <cell r="B30" t="str">
            <v>Ijkstaete</v>
          </cell>
          <cell r="D30">
            <v>1567</v>
          </cell>
          <cell r="E30">
            <v>1260</v>
          </cell>
          <cell r="I30">
            <v>1</v>
          </cell>
          <cell r="M30">
            <v>331.50107714285718</v>
          </cell>
          <cell r="N30">
            <v>167.89795339535519</v>
          </cell>
          <cell r="O30">
            <v>75.120483333333326</v>
          </cell>
          <cell r="P30">
            <v>61.564916666666669</v>
          </cell>
          <cell r="Q30">
            <v>5.7916371428571427</v>
          </cell>
          <cell r="R30">
            <v>5.3847557142857143</v>
          </cell>
          <cell r="T30">
            <v>3</v>
          </cell>
          <cell r="AC30">
            <v>385.67421790722761</v>
          </cell>
          <cell r="AD30">
            <v>195.33544935081068</v>
          </cell>
          <cell r="AE30">
            <v>68.675555555555562</v>
          </cell>
          <cell r="AF30">
            <v>57.528888888888886</v>
          </cell>
          <cell r="AG30">
            <v>7.2490291262135917</v>
          </cell>
          <cell r="AH30">
            <v>6.150485436893204</v>
          </cell>
        </row>
        <row r="31">
          <cell r="B31" t="str">
            <v>Ijkstaete</v>
          </cell>
          <cell r="D31">
            <v>100</v>
          </cell>
          <cell r="E31">
            <v>1200</v>
          </cell>
          <cell r="I31">
            <v>1</v>
          </cell>
          <cell r="M31">
            <v>4.9774936507936509</v>
          </cell>
          <cell r="N31">
            <v>41.479113756613756</v>
          </cell>
          <cell r="O31">
            <v>0.67676111111111104</v>
          </cell>
          <cell r="P31">
            <v>0.5546388888888889</v>
          </cell>
          <cell r="Q31">
            <v>9.6527285714285718</v>
          </cell>
          <cell r="R31">
            <v>8.9745928571428575</v>
          </cell>
          <cell r="T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/>
          </cell>
          <cell r="AH31" t="str">
            <v/>
          </cell>
        </row>
        <row r="32">
          <cell r="B32" t="str">
            <v>module22</v>
          </cell>
          <cell r="D32">
            <v>1000</v>
          </cell>
          <cell r="E32">
            <v>1000</v>
          </cell>
          <cell r="I32">
            <v>1</v>
          </cell>
          <cell r="M32">
            <v>154.30230317460317</v>
          </cell>
          <cell r="N32">
            <v>154.30230317460317</v>
          </cell>
          <cell r="O32">
            <v>20.979594444444441</v>
          </cell>
          <cell r="P32">
            <v>17.193805555555556</v>
          </cell>
          <cell r="Q32">
            <v>9.6527285714285718</v>
          </cell>
          <cell r="R32">
            <v>8.9745928571428575</v>
          </cell>
          <cell r="T32">
            <v>5</v>
          </cell>
          <cell r="AC32">
            <v>200.87198849334774</v>
          </cell>
          <cell r="AD32">
            <v>200.87198849334774</v>
          </cell>
          <cell r="AE32">
            <v>35.768518518518519</v>
          </cell>
          <cell r="AF32">
            <v>29.962962962962962</v>
          </cell>
          <cell r="AG32">
            <v>7.2490291262135917</v>
          </cell>
          <cell r="AH32">
            <v>6.150485436893204</v>
          </cell>
        </row>
        <row r="33">
          <cell r="B33" t="str">
            <v>module23</v>
          </cell>
          <cell r="D33">
            <v>100</v>
          </cell>
          <cell r="E33">
            <v>1600</v>
          </cell>
          <cell r="I33">
            <v>1</v>
          </cell>
          <cell r="M33">
            <v>4.9774936507936509</v>
          </cell>
          <cell r="N33">
            <v>31.109335317460317</v>
          </cell>
          <cell r="O33">
            <v>0.67676111111111104</v>
          </cell>
          <cell r="P33">
            <v>0.5546388888888889</v>
          </cell>
          <cell r="Q33">
            <v>9.6527285714285718</v>
          </cell>
          <cell r="R33">
            <v>8.9745928571428575</v>
          </cell>
          <cell r="T33">
            <v>5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str">
            <v/>
          </cell>
          <cell r="AH33" t="str">
            <v/>
          </cell>
        </row>
        <row r="34">
          <cell r="B34" t="str">
            <v>module24</v>
          </cell>
          <cell r="D34">
            <v>100</v>
          </cell>
          <cell r="E34">
            <v>1601</v>
          </cell>
          <cell r="I34">
            <v>1</v>
          </cell>
          <cell r="M34">
            <v>4.9774936507936509</v>
          </cell>
          <cell r="N34">
            <v>31.089904127380706</v>
          </cell>
          <cell r="O34">
            <v>0.67676111111111104</v>
          </cell>
          <cell r="P34">
            <v>0.5546388888888889</v>
          </cell>
          <cell r="Q34">
            <v>9.6527285714285718</v>
          </cell>
          <cell r="R34">
            <v>8.9745928571428575</v>
          </cell>
          <cell r="T34">
            <v>5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str">
            <v/>
          </cell>
          <cell r="AH34" t="str">
            <v/>
          </cell>
        </row>
        <row r="35">
          <cell r="B35" t="str">
            <v>module25</v>
          </cell>
          <cell r="D35">
            <v>100</v>
          </cell>
          <cell r="E35">
            <v>2000</v>
          </cell>
          <cell r="I35">
            <v>1</v>
          </cell>
          <cell r="M35">
            <v>9.9549873015873018</v>
          </cell>
          <cell r="N35">
            <v>49.774936507936509</v>
          </cell>
          <cell r="O35">
            <v>1.3535222222222221</v>
          </cell>
          <cell r="P35">
            <v>1.1092777777777778</v>
          </cell>
          <cell r="Q35">
            <v>9.6527285714285718</v>
          </cell>
          <cell r="R35">
            <v>8.9745928571428575</v>
          </cell>
          <cell r="T35">
            <v>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 t="str">
            <v/>
          </cell>
          <cell r="AH35" t="str">
            <v/>
          </cell>
        </row>
        <row r="36">
          <cell r="B36" t="str">
            <v>module26</v>
          </cell>
          <cell r="D36">
            <v>100</v>
          </cell>
          <cell r="E36">
            <v>2399</v>
          </cell>
          <cell r="I36">
            <v>1</v>
          </cell>
          <cell r="M36">
            <v>9.9549873015873018</v>
          </cell>
          <cell r="N36">
            <v>41.496403924915803</v>
          </cell>
          <cell r="O36">
            <v>1.3535222222222221</v>
          </cell>
          <cell r="P36">
            <v>1.1092777777777778</v>
          </cell>
          <cell r="Q36">
            <v>9.6527285714285718</v>
          </cell>
          <cell r="R36">
            <v>8.9745928571428575</v>
          </cell>
          <cell r="T36">
            <v>5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str">
            <v/>
          </cell>
          <cell r="AH36" t="str">
            <v/>
          </cell>
        </row>
        <row r="37">
          <cell r="B37" t="str">
            <v>module27</v>
          </cell>
          <cell r="D37">
            <v>100</v>
          </cell>
          <cell r="E37">
            <v>2400</v>
          </cell>
          <cell r="I37">
            <v>1</v>
          </cell>
          <cell r="M37">
            <v>9.9549873015873018</v>
          </cell>
          <cell r="N37">
            <v>41.479113756613756</v>
          </cell>
          <cell r="O37">
            <v>1.3535222222222221</v>
          </cell>
          <cell r="P37">
            <v>1.1092777777777778</v>
          </cell>
          <cell r="Q37">
            <v>9.6527285714285718</v>
          </cell>
          <cell r="R37">
            <v>8.9745928571428575</v>
          </cell>
          <cell r="T37">
            <v>5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str">
            <v/>
          </cell>
          <cell r="AH37" t="str">
            <v/>
          </cell>
        </row>
        <row r="38">
          <cell r="B38" t="str">
            <v>module28</v>
          </cell>
          <cell r="D38">
            <v>100</v>
          </cell>
          <cell r="E38">
            <v>2500</v>
          </cell>
          <cell r="I38">
            <v>1</v>
          </cell>
          <cell r="M38">
            <v>9.9549873015873018</v>
          </cell>
          <cell r="N38">
            <v>39.819949206349207</v>
          </cell>
          <cell r="O38">
            <v>1.3535222222222221</v>
          </cell>
          <cell r="P38">
            <v>1.1092777777777778</v>
          </cell>
          <cell r="Q38">
            <v>9.6527285714285718</v>
          </cell>
          <cell r="R38">
            <v>8.9745928571428575</v>
          </cell>
          <cell r="T38">
            <v>5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str">
            <v/>
          </cell>
          <cell r="AH38" t="str">
            <v/>
          </cell>
        </row>
        <row r="39">
          <cell r="B39" t="str">
            <v>module29</v>
          </cell>
          <cell r="D39">
            <v>200</v>
          </cell>
          <cell r="E39">
            <v>2699</v>
          </cell>
          <cell r="I39">
            <v>1</v>
          </cell>
          <cell r="M39">
            <v>63.711918730158736</v>
          </cell>
          <cell r="N39">
            <v>118.02874903697433</v>
          </cell>
          <cell r="O39">
            <v>10.828177777777777</v>
          </cell>
          <cell r="P39">
            <v>8.8742222222222225</v>
          </cell>
          <cell r="Q39">
            <v>7.7221828571428572</v>
          </cell>
          <cell r="R39">
            <v>7.1796742857142855</v>
          </cell>
          <cell r="T39">
            <v>4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/>
          </cell>
          <cell r="AH39" t="str">
            <v/>
          </cell>
        </row>
        <row r="40">
          <cell r="B40" t="str">
            <v>module30</v>
          </cell>
          <cell r="D40">
            <v>229</v>
          </cell>
          <cell r="E40">
            <v>246</v>
          </cell>
          <cell r="I40">
            <v>1</v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>
            <v>13.513820000000001</v>
          </cell>
          <cell r="R40">
            <v>12.56443</v>
          </cell>
          <cell r="T40">
            <v>7</v>
          </cell>
          <cell r="AC40">
            <v>8.0348795397339092</v>
          </cell>
          <cell r="AD40">
            <v>142.62930982592943</v>
          </cell>
          <cell r="AE40">
            <v>1.4307407407407409</v>
          </cell>
          <cell r="AF40">
            <v>1.1985185185185185</v>
          </cell>
          <cell r="AG40">
            <v>7.2490291262135917</v>
          </cell>
          <cell r="AH40">
            <v>6.150485436893204</v>
          </cell>
        </row>
      </sheetData>
      <sheetData sheetId="2"/>
      <sheetData sheetId="3"/>
      <sheetData sheetId="4"/>
      <sheetData sheetId="5">
        <row r="15">
          <cell r="E15">
            <v>1.9305457142857143</v>
          </cell>
          <cell r="G15">
            <v>0.67676111111111104</v>
          </cell>
          <cell r="M15">
            <v>3.364991132143267E-2</v>
          </cell>
          <cell r="N15">
            <v>6.9229503334576688E-12</v>
          </cell>
        </row>
        <row r="27">
          <cell r="E27">
            <v>7.2490291262135917</v>
          </cell>
          <cell r="M27">
            <v>8.653207892060092E-3</v>
          </cell>
          <cell r="N27">
            <v>5.7800406795817397E-12</v>
          </cell>
        </row>
        <row r="57">
          <cell r="B57" t="str">
            <v>Shingling G1</v>
          </cell>
        </row>
        <row r="61">
          <cell r="D61">
            <v>1.3806490000000001E-23</v>
          </cell>
        </row>
        <row r="62">
          <cell r="D62">
            <v>1.6021766339999999E-19</v>
          </cell>
        </row>
        <row r="64">
          <cell r="D64">
            <v>1.2</v>
          </cell>
        </row>
      </sheetData>
      <sheetData sheetId="6"/>
      <sheetData sheetId="7"/>
      <sheetData sheetId="8">
        <row r="11">
          <cell r="EW11">
            <v>1</v>
          </cell>
          <cell r="EZ11">
            <v>154</v>
          </cell>
          <cell r="FA11" t="str">
            <v>730x1205-SOLARIX-D-673-20-G-900-SUEDE-22s7pG1div5</v>
          </cell>
        </row>
        <row r="12">
          <cell r="EW12">
            <v>1</v>
          </cell>
          <cell r="EZ12">
            <v>189</v>
          </cell>
          <cell r="FA12" t="str">
            <v>895x1205-G-900-SUEDE-27s7pG1div5</v>
          </cell>
        </row>
        <row r="13">
          <cell r="EW13">
            <v>1</v>
          </cell>
          <cell r="EZ13">
            <v>196</v>
          </cell>
          <cell r="FA13" t="str">
            <v>908x1205-G-900-SUEDE-28s7pG1div5</v>
          </cell>
        </row>
        <row r="14">
          <cell r="EW14">
            <v>1</v>
          </cell>
          <cell r="EZ14">
            <v>112</v>
          </cell>
          <cell r="FA14" t="str">
            <v>730x915-G-900-SUEDE-28s4pG1div5</v>
          </cell>
        </row>
        <row r="15">
          <cell r="EW15">
            <v>1</v>
          </cell>
          <cell r="EZ15">
            <v>140</v>
          </cell>
          <cell r="FA15" t="str">
            <v>895x915-G-900-SUEDE-28s5pG1div5</v>
          </cell>
        </row>
        <row r="16">
          <cell r="EW16">
            <v>1</v>
          </cell>
          <cell r="EZ16">
            <v>140</v>
          </cell>
          <cell r="FA16" t="str">
            <v>908x915-G-900-SUEDE-28s5pG1div5</v>
          </cell>
        </row>
        <row r="17">
          <cell r="EW17">
            <v>1</v>
          </cell>
          <cell r="EZ17">
            <v>150</v>
          </cell>
          <cell r="FA17" t="str">
            <v>994x915-G-900-SUEDE-30s5pG1div5</v>
          </cell>
        </row>
        <row r="18">
          <cell r="EW18">
            <v>1</v>
          </cell>
          <cell r="EZ18">
            <v>110</v>
          </cell>
          <cell r="FA18" t="str">
            <v>730x882-G-900-SUEDE-22s5pG1div5</v>
          </cell>
        </row>
        <row r="19">
          <cell r="EW19">
            <v>1</v>
          </cell>
          <cell r="EZ19">
            <v>135</v>
          </cell>
          <cell r="FA19" t="str">
            <v>895x882-G-900-SUEDE-27s5pG1div5</v>
          </cell>
        </row>
        <row r="20">
          <cell r="EW20">
            <v>1</v>
          </cell>
          <cell r="EZ20">
            <v>140</v>
          </cell>
          <cell r="FA20" t="str">
            <v>908x882-G-900-SUEDE-28s5pG1div5</v>
          </cell>
        </row>
        <row r="21">
          <cell r="EW21">
            <v>1</v>
          </cell>
          <cell r="EZ21">
            <v>104</v>
          </cell>
          <cell r="FA21" t="str">
            <v>730x850-G-900-SUEDE-26s4pG1div5</v>
          </cell>
        </row>
        <row r="22">
          <cell r="EW22">
            <v>1</v>
          </cell>
          <cell r="EZ22">
            <v>130</v>
          </cell>
          <cell r="FA22" t="str">
            <v>895x850-G-900-SUEDE-26s5pG1div5</v>
          </cell>
        </row>
        <row r="23">
          <cell r="EW23">
            <v>1</v>
          </cell>
          <cell r="EZ23">
            <v>130</v>
          </cell>
          <cell r="FA23" t="str">
            <v>908x850-G-900-SUEDE-26s5pG1div5</v>
          </cell>
        </row>
        <row r="24">
          <cell r="EW24">
            <v>1</v>
          </cell>
          <cell r="EZ24">
            <v>130</v>
          </cell>
          <cell r="FA24" t="str">
            <v>994x850-G-900-SUEDE-26s5pG1div5</v>
          </cell>
        </row>
        <row r="25">
          <cell r="EW25">
            <v>1</v>
          </cell>
          <cell r="EZ25">
            <v>100</v>
          </cell>
          <cell r="FA25" t="str">
            <v>730x820-G-900-SUEDE-25s4pG1div5</v>
          </cell>
        </row>
        <row r="26">
          <cell r="EW26">
            <v>1</v>
          </cell>
          <cell r="EZ26">
            <v>125</v>
          </cell>
          <cell r="FA26" t="str">
            <v>995x820-G-900-SUEDE-25s5pG1div5</v>
          </cell>
        </row>
        <row r="27">
          <cell r="EW27">
            <v>1</v>
          </cell>
          <cell r="EZ27">
            <v>96</v>
          </cell>
          <cell r="FA27" t="str">
            <v>730x790-G-900-SUEDE-24s4pG1div5</v>
          </cell>
        </row>
        <row r="28">
          <cell r="EW28">
            <v>1</v>
          </cell>
          <cell r="EZ28">
            <v>100</v>
          </cell>
          <cell r="FA28" t="str">
            <v>895x680-G-900-SUEDE-20s5pG1div5</v>
          </cell>
        </row>
        <row r="29">
          <cell r="EW29">
            <v>1</v>
          </cell>
          <cell r="EZ29">
            <v>100</v>
          </cell>
          <cell r="FA29" t="str">
            <v>908x680-G-900-SUEDE-20s5pG1div5</v>
          </cell>
        </row>
        <row r="30">
          <cell r="EW30">
            <v>3</v>
          </cell>
          <cell r="EZ30">
            <v>111</v>
          </cell>
          <cell r="FA30" t="str">
            <v>1567x1260-G-904-MATT-SNOW -37s3pG1div5</v>
          </cell>
        </row>
        <row r="31">
          <cell r="EW31">
            <v>1</v>
          </cell>
          <cell r="EZ31">
            <v>5</v>
          </cell>
          <cell r="FA31" t="str">
            <v>100x1200-G-900-SUEDE-1s5pG1div5</v>
          </cell>
        </row>
        <row r="32">
          <cell r="EW32">
            <v>1</v>
          </cell>
          <cell r="EZ32">
            <v>155</v>
          </cell>
          <cell r="FA32" t="str">
            <v>1000x1000-G-900-SUEDE-31s5pG1div5</v>
          </cell>
        </row>
        <row r="33">
          <cell r="EW33">
            <v>1</v>
          </cell>
          <cell r="EZ33">
            <v>5</v>
          </cell>
          <cell r="FA33" t="str">
            <v>100x1600-G-900-SUEDE-1s5pG1div5</v>
          </cell>
        </row>
        <row r="34">
          <cell r="EW34">
            <v>1</v>
          </cell>
          <cell r="EZ34">
            <v>5</v>
          </cell>
          <cell r="FA34" t="str">
            <v>100x1601-G-900-SUEDE-1s5pG1div5</v>
          </cell>
        </row>
        <row r="35">
          <cell r="EW35">
            <v>2</v>
          </cell>
          <cell r="EZ35">
            <v>5</v>
          </cell>
          <cell r="FA35" t="str">
            <v>100x2000-G-900-SUEDE-1s5pG1div5</v>
          </cell>
        </row>
        <row r="36">
          <cell r="EW36">
            <v>2</v>
          </cell>
          <cell r="EZ36">
            <v>5</v>
          </cell>
          <cell r="FA36" t="str">
            <v>100x2399-G-900-SUEDE-1s5pG1div5</v>
          </cell>
        </row>
        <row r="37">
          <cell r="EW37">
            <v>2</v>
          </cell>
          <cell r="EZ37">
            <v>5</v>
          </cell>
          <cell r="FA37" t="str">
            <v>100x2400-G-900-SUEDE-1s5pG1div5</v>
          </cell>
        </row>
        <row r="38">
          <cell r="EW38">
            <v>2</v>
          </cell>
          <cell r="EZ38">
            <v>5</v>
          </cell>
          <cell r="FA38" t="str">
            <v>100x2500-G-900-SUEDE-1s5pG1div5</v>
          </cell>
        </row>
        <row r="39">
          <cell r="EW39">
            <v>4</v>
          </cell>
          <cell r="EZ39">
            <v>16</v>
          </cell>
          <cell r="FA39" t="str">
            <v>200x2699-G-900-SUEDE-4s4pG1div5</v>
          </cell>
        </row>
        <row r="40">
          <cell r="EW40" t="str">
            <v/>
          </cell>
          <cell r="EZ40" t="e">
            <v>#VALUE!</v>
          </cell>
          <cell r="FA40" t="str">
            <v>229x246-G-900-SUEDE-s7pG1div5</v>
          </cell>
        </row>
      </sheetData>
      <sheetData sheetId="9">
        <row r="31">
          <cell r="B31">
            <v>2</v>
          </cell>
          <cell r="BH31">
            <v>2</v>
          </cell>
          <cell r="BI31">
            <v>2</v>
          </cell>
          <cell r="BJ31">
            <v>4</v>
          </cell>
          <cell r="BK31">
            <v>3</v>
          </cell>
          <cell r="BL31">
            <v>3</v>
          </cell>
          <cell r="BM31">
            <v>6</v>
          </cell>
          <cell r="BO31">
            <v>36</v>
          </cell>
          <cell r="BP31">
            <v>18</v>
          </cell>
          <cell r="BQ31">
            <v>0</v>
          </cell>
          <cell r="BR31">
            <v>42</v>
          </cell>
          <cell r="BS31">
            <v>0</v>
          </cell>
          <cell r="BT31">
            <v>0</v>
          </cell>
          <cell r="BU31">
            <v>1</v>
          </cell>
          <cell r="BV31">
            <v>2</v>
          </cell>
          <cell r="BW31">
            <v>1</v>
          </cell>
          <cell r="BX31">
            <v>1</v>
          </cell>
          <cell r="BY31">
            <v>2</v>
          </cell>
          <cell r="BZ31">
            <v>1</v>
          </cell>
          <cell r="CG31" t="str">
            <v>730x1205-SOLARIX-D-673-20-G-900-SUEDE-s18p2M10HC</v>
          </cell>
        </row>
        <row r="32">
          <cell r="B32">
            <v>2</v>
          </cell>
          <cell r="BH32">
            <v>2</v>
          </cell>
          <cell r="BI32">
            <v>2</v>
          </cell>
          <cell r="BJ32">
            <v>4</v>
          </cell>
          <cell r="BK32">
            <v>3</v>
          </cell>
          <cell r="BL32">
            <v>3</v>
          </cell>
          <cell r="BM32">
            <v>6</v>
          </cell>
          <cell r="BO32">
            <v>48</v>
          </cell>
          <cell r="BP32">
            <v>24</v>
          </cell>
          <cell r="BQ32">
            <v>0</v>
          </cell>
          <cell r="BR32">
            <v>54</v>
          </cell>
          <cell r="BS32">
            <v>0</v>
          </cell>
          <cell r="BT32">
            <v>0</v>
          </cell>
          <cell r="BU32">
            <v>1</v>
          </cell>
          <cell r="BV32">
            <v>2</v>
          </cell>
          <cell r="BW32">
            <v>1</v>
          </cell>
          <cell r="BX32">
            <v>1</v>
          </cell>
          <cell r="BY32">
            <v>2</v>
          </cell>
          <cell r="BZ32">
            <v>1</v>
          </cell>
          <cell r="CG32" t="str">
            <v>895x1205-G-900-SUEDE-s24p2M10HC</v>
          </cell>
        </row>
        <row r="33">
          <cell r="B33">
            <v>4</v>
          </cell>
          <cell r="BH33">
            <v>2</v>
          </cell>
          <cell r="BI33">
            <v>2</v>
          </cell>
          <cell r="BJ33">
            <v>4</v>
          </cell>
          <cell r="BK33">
            <v>3</v>
          </cell>
          <cell r="BL33">
            <v>3</v>
          </cell>
          <cell r="BM33">
            <v>6</v>
          </cell>
          <cell r="BO33">
            <v>48</v>
          </cell>
          <cell r="BP33">
            <v>24</v>
          </cell>
          <cell r="BQ33">
            <v>0</v>
          </cell>
          <cell r="BR33">
            <v>54</v>
          </cell>
          <cell r="BS33">
            <v>0</v>
          </cell>
          <cell r="BT33">
            <v>0</v>
          </cell>
          <cell r="BU33">
            <v>1</v>
          </cell>
          <cell r="BV33">
            <v>2</v>
          </cell>
          <cell r="BW33">
            <v>1</v>
          </cell>
          <cell r="BX33">
            <v>1</v>
          </cell>
          <cell r="BY33">
            <v>2</v>
          </cell>
          <cell r="BZ33">
            <v>1</v>
          </cell>
          <cell r="CG33" t="str">
            <v>908x1205-G-900-SUEDE-s54p1M10HC</v>
          </cell>
        </row>
        <row r="34">
          <cell r="B34">
            <v>4</v>
          </cell>
          <cell r="BH34">
            <v>2</v>
          </cell>
          <cell r="BI34">
            <v>2</v>
          </cell>
          <cell r="BJ34">
            <v>4</v>
          </cell>
          <cell r="BK34">
            <v>2</v>
          </cell>
          <cell r="BL34">
            <v>2</v>
          </cell>
          <cell r="BM34">
            <v>4</v>
          </cell>
          <cell r="BO34">
            <v>27</v>
          </cell>
          <cell r="BP34">
            <v>0</v>
          </cell>
          <cell r="BQ34">
            <v>0</v>
          </cell>
          <cell r="BR34">
            <v>28</v>
          </cell>
          <cell r="BS34">
            <v>0</v>
          </cell>
          <cell r="BT34">
            <v>0</v>
          </cell>
          <cell r="BU34">
            <v>1</v>
          </cell>
          <cell r="BV34">
            <v>2</v>
          </cell>
          <cell r="BW34">
            <v>1</v>
          </cell>
          <cell r="BX34">
            <v>1</v>
          </cell>
          <cell r="BY34">
            <v>2</v>
          </cell>
          <cell r="BZ34">
            <v>1</v>
          </cell>
          <cell r="CG34" t="str">
            <v>730x915-G-900-SUEDE-s28p1M10HC</v>
          </cell>
        </row>
        <row r="35">
          <cell r="B35">
            <v>4</v>
          </cell>
          <cell r="BH35">
            <v>2</v>
          </cell>
          <cell r="BI35">
            <v>2</v>
          </cell>
          <cell r="BJ35">
            <v>4</v>
          </cell>
          <cell r="BK35">
            <v>2</v>
          </cell>
          <cell r="BL35">
            <v>2</v>
          </cell>
          <cell r="BM35">
            <v>4</v>
          </cell>
          <cell r="BO35">
            <v>36</v>
          </cell>
          <cell r="BP35">
            <v>0</v>
          </cell>
          <cell r="BQ35">
            <v>0</v>
          </cell>
          <cell r="BR35">
            <v>36</v>
          </cell>
          <cell r="BS35">
            <v>0</v>
          </cell>
          <cell r="BT35">
            <v>0</v>
          </cell>
          <cell r="BU35">
            <v>1</v>
          </cell>
          <cell r="BV35">
            <v>2</v>
          </cell>
          <cell r="BW35">
            <v>1</v>
          </cell>
          <cell r="BX35">
            <v>1</v>
          </cell>
          <cell r="BY35">
            <v>2</v>
          </cell>
          <cell r="BZ35">
            <v>1</v>
          </cell>
          <cell r="CG35" t="str">
            <v>895x915-G-900-SUEDE-s36p1M10HC</v>
          </cell>
        </row>
        <row r="36">
          <cell r="B36">
            <v>4</v>
          </cell>
          <cell r="BH36">
            <v>2</v>
          </cell>
          <cell r="BI36">
            <v>2</v>
          </cell>
          <cell r="BJ36">
            <v>4</v>
          </cell>
          <cell r="BK36">
            <v>2</v>
          </cell>
          <cell r="BL36">
            <v>2</v>
          </cell>
          <cell r="BM36">
            <v>4</v>
          </cell>
          <cell r="BO36">
            <v>36</v>
          </cell>
          <cell r="BP36">
            <v>0</v>
          </cell>
          <cell r="BQ36">
            <v>0</v>
          </cell>
          <cell r="BR36">
            <v>36</v>
          </cell>
          <cell r="BS36">
            <v>0</v>
          </cell>
          <cell r="BT36">
            <v>0</v>
          </cell>
          <cell r="BU36">
            <v>1</v>
          </cell>
          <cell r="BV36">
            <v>2</v>
          </cell>
          <cell r="BW36">
            <v>1</v>
          </cell>
          <cell r="BX36">
            <v>1</v>
          </cell>
          <cell r="BY36">
            <v>2</v>
          </cell>
          <cell r="BZ36">
            <v>1</v>
          </cell>
          <cell r="CG36" t="str">
            <v>908x915-G-900-SUEDE-s36p1M10HC</v>
          </cell>
        </row>
        <row r="37">
          <cell r="B37">
            <v>1</v>
          </cell>
          <cell r="BH37">
            <v>3</v>
          </cell>
          <cell r="BI37">
            <v>3</v>
          </cell>
          <cell r="BJ37">
            <v>6</v>
          </cell>
          <cell r="BK37">
            <v>2</v>
          </cell>
          <cell r="BL37">
            <v>2</v>
          </cell>
          <cell r="BM37">
            <v>4</v>
          </cell>
          <cell r="BO37">
            <v>45</v>
          </cell>
          <cell r="BP37">
            <v>0</v>
          </cell>
          <cell r="BQ37">
            <v>0</v>
          </cell>
          <cell r="BR37">
            <v>40</v>
          </cell>
          <cell r="BS37">
            <v>0</v>
          </cell>
          <cell r="BT37">
            <v>0</v>
          </cell>
          <cell r="BU37">
            <v>1</v>
          </cell>
          <cell r="BV37">
            <v>2</v>
          </cell>
          <cell r="BW37">
            <v>1</v>
          </cell>
          <cell r="BX37">
            <v>1</v>
          </cell>
          <cell r="BY37">
            <v>2</v>
          </cell>
          <cell r="BZ37">
            <v>1</v>
          </cell>
          <cell r="CG37" t="str">
            <v>994x915-G-900-SUEDE-s45p1M10HC</v>
          </cell>
        </row>
        <row r="38">
          <cell r="B38">
            <v>4</v>
          </cell>
          <cell r="BH38">
            <v>2</v>
          </cell>
          <cell r="BI38">
            <v>2</v>
          </cell>
          <cell r="BJ38">
            <v>4</v>
          </cell>
          <cell r="BK38">
            <v>2</v>
          </cell>
          <cell r="BL38">
            <v>2</v>
          </cell>
          <cell r="BM38">
            <v>4</v>
          </cell>
          <cell r="BO38">
            <v>24</v>
          </cell>
          <cell r="BP38">
            <v>0</v>
          </cell>
          <cell r="BQ38">
            <v>0</v>
          </cell>
          <cell r="BR38">
            <v>28</v>
          </cell>
          <cell r="BS38">
            <v>0</v>
          </cell>
          <cell r="BT38">
            <v>0</v>
          </cell>
          <cell r="BU38">
            <v>1</v>
          </cell>
          <cell r="BV38">
            <v>2</v>
          </cell>
          <cell r="BW38">
            <v>1</v>
          </cell>
          <cell r="BX38">
            <v>1</v>
          </cell>
          <cell r="BY38">
            <v>2</v>
          </cell>
          <cell r="BZ38">
            <v>1</v>
          </cell>
          <cell r="CG38" t="str">
            <v>730x882-G-900-SUEDE-s28p1M10HC</v>
          </cell>
        </row>
        <row r="39">
          <cell r="B39">
            <v>4</v>
          </cell>
          <cell r="BH39">
            <v>2</v>
          </cell>
          <cell r="BI39">
            <v>2</v>
          </cell>
          <cell r="BJ39">
            <v>4</v>
          </cell>
          <cell r="BK39">
            <v>2</v>
          </cell>
          <cell r="BL39">
            <v>2</v>
          </cell>
          <cell r="BM39">
            <v>4</v>
          </cell>
          <cell r="BO39">
            <v>32</v>
          </cell>
          <cell r="BP39">
            <v>0</v>
          </cell>
          <cell r="BQ39">
            <v>0</v>
          </cell>
          <cell r="BR39">
            <v>36</v>
          </cell>
          <cell r="BS39">
            <v>0</v>
          </cell>
          <cell r="BT39">
            <v>0</v>
          </cell>
          <cell r="BU39">
            <v>1</v>
          </cell>
          <cell r="BV39">
            <v>2</v>
          </cell>
          <cell r="BW39">
            <v>1</v>
          </cell>
          <cell r="BX39">
            <v>1</v>
          </cell>
          <cell r="BY39">
            <v>2</v>
          </cell>
          <cell r="BZ39">
            <v>1</v>
          </cell>
          <cell r="CG39" t="str">
            <v>895x882-G-900-SUEDE-s36p1M10HC</v>
          </cell>
        </row>
        <row r="40">
          <cell r="B40">
            <v>4</v>
          </cell>
          <cell r="BH40">
            <v>2</v>
          </cell>
          <cell r="BI40">
            <v>2</v>
          </cell>
          <cell r="BJ40">
            <v>4</v>
          </cell>
          <cell r="BK40">
            <v>2</v>
          </cell>
          <cell r="BL40">
            <v>2</v>
          </cell>
          <cell r="BM40">
            <v>4</v>
          </cell>
          <cell r="BO40">
            <v>32</v>
          </cell>
          <cell r="BP40">
            <v>0</v>
          </cell>
          <cell r="BQ40">
            <v>0</v>
          </cell>
          <cell r="BR40">
            <v>36</v>
          </cell>
          <cell r="BS40">
            <v>0</v>
          </cell>
          <cell r="BT40">
            <v>0</v>
          </cell>
          <cell r="BU40">
            <v>1</v>
          </cell>
          <cell r="BV40">
            <v>2</v>
          </cell>
          <cell r="BW40">
            <v>1</v>
          </cell>
          <cell r="BX40">
            <v>1</v>
          </cell>
          <cell r="BY40">
            <v>2</v>
          </cell>
          <cell r="BZ40">
            <v>1</v>
          </cell>
          <cell r="CG40" t="str">
            <v>908x882-G-900-SUEDE-s36p1M10HC</v>
          </cell>
        </row>
        <row r="41">
          <cell r="B41">
            <v>4</v>
          </cell>
          <cell r="BH41">
            <v>2</v>
          </cell>
          <cell r="BI41">
            <v>2</v>
          </cell>
          <cell r="BJ41">
            <v>4</v>
          </cell>
          <cell r="BK41">
            <v>2</v>
          </cell>
          <cell r="BL41">
            <v>2</v>
          </cell>
          <cell r="BM41">
            <v>4</v>
          </cell>
          <cell r="BO41">
            <v>24</v>
          </cell>
          <cell r="BP41">
            <v>0</v>
          </cell>
          <cell r="BQ41">
            <v>0</v>
          </cell>
          <cell r="BR41">
            <v>28</v>
          </cell>
          <cell r="BS41">
            <v>0</v>
          </cell>
          <cell r="BT41">
            <v>0</v>
          </cell>
          <cell r="BU41">
            <v>1</v>
          </cell>
          <cell r="BV41">
            <v>2</v>
          </cell>
          <cell r="BW41">
            <v>1</v>
          </cell>
          <cell r="BX41">
            <v>1</v>
          </cell>
          <cell r="BY41">
            <v>2</v>
          </cell>
          <cell r="BZ41">
            <v>1</v>
          </cell>
          <cell r="CG41" t="str">
            <v>730x850-G-900-SUEDE-s28p1M10HC</v>
          </cell>
        </row>
        <row r="42">
          <cell r="B42">
            <v>4</v>
          </cell>
          <cell r="BH42">
            <v>2</v>
          </cell>
          <cell r="BI42">
            <v>2</v>
          </cell>
          <cell r="BJ42">
            <v>4</v>
          </cell>
          <cell r="BK42">
            <v>2</v>
          </cell>
          <cell r="BL42">
            <v>2</v>
          </cell>
          <cell r="BM42">
            <v>4</v>
          </cell>
          <cell r="BO42">
            <v>32</v>
          </cell>
          <cell r="BP42">
            <v>0</v>
          </cell>
          <cell r="BQ42">
            <v>0</v>
          </cell>
          <cell r="BR42">
            <v>36</v>
          </cell>
          <cell r="BS42">
            <v>0</v>
          </cell>
          <cell r="BT42">
            <v>0</v>
          </cell>
          <cell r="BU42">
            <v>1</v>
          </cell>
          <cell r="BV42">
            <v>2</v>
          </cell>
          <cell r="BW42">
            <v>1</v>
          </cell>
          <cell r="BX42">
            <v>1</v>
          </cell>
          <cell r="BY42">
            <v>2</v>
          </cell>
          <cell r="BZ42">
            <v>1</v>
          </cell>
          <cell r="CG42" t="str">
            <v>895x850-G-900-SUEDE-s36p1M10HC</v>
          </cell>
        </row>
        <row r="43">
          <cell r="B43">
            <v>4</v>
          </cell>
          <cell r="BH43">
            <v>2</v>
          </cell>
          <cell r="BI43">
            <v>2</v>
          </cell>
          <cell r="BJ43">
            <v>4</v>
          </cell>
          <cell r="BK43">
            <v>2</v>
          </cell>
          <cell r="BL43">
            <v>2</v>
          </cell>
          <cell r="BM43">
            <v>4</v>
          </cell>
          <cell r="BO43">
            <v>32</v>
          </cell>
          <cell r="BP43">
            <v>0</v>
          </cell>
          <cell r="BQ43">
            <v>0</v>
          </cell>
          <cell r="BR43">
            <v>36</v>
          </cell>
          <cell r="BS43">
            <v>0</v>
          </cell>
          <cell r="BT43">
            <v>0</v>
          </cell>
          <cell r="BU43">
            <v>1</v>
          </cell>
          <cell r="BV43">
            <v>2</v>
          </cell>
          <cell r="BW43">
            <v>1</v>
          </cell>
          <cell r="BX43">
            <v>1</v>
          </cell>
          <cell r="BY43">
            <v>2</v>
          </cell>
          <cell r="BZ43">
            <v>1</v>
          </cell>
          <cell r="CG43" t="str">
            <v>908x850-G-900-SUEDE-s36p1M10HC</v>
          </cell>
        </row>
        <row r="44">
          <cell r="B44">
            <v>4</v>
          </cell>
          <cell r="BH44">
            <v>3</v>
          </cell>
          <cell r="BI44">
            <v>3</v>
          </cell>
          <cell r="BJ44">
            <v>6</v>
          </cell>
          <cell r="BK44">
            <v>2</v>
          </cell>
          <cell r="BL44">
            <v>2</v>
          </cell>
          <cell r="BM44">
            <v>4</v>
          </cell>
          <cell r="BO44">
            <v>40</v>
          </cell>
          <cell r="BP44">
            <v>0</v>
          </cell>
          <cell r="BQ44">
            <v>0</v>
          </cell>
          <cell r="BR44">
            <v>40</v>
          </cell>
          <cell r="BS44">
            <v>0</v>
          </cell>
          <cell r="BT44">
            <v>0</v>
          </cell>
          <cell r="BU44">
            <v>1</v>
          </cell>
          <cell r="BV44">
            <v>2</v>
          </cell>
          <cell r="BW44">
            <v>1</v>
          </cell>
          <cell r="BX44">
            <v>1</v>
          </cell>
          <cell r="BY44">
            <v>2</v>
          </cell>
          <cell r="BZ44">
            <v>1</v>
          </cell>
          <cell r="CG44" t="str">
            <v>994x850-G-900-SUEDE-s40p1M10HC</v>
          </cell>
        </row>
        <row r="45">
          <cell r="B45">
            <v>4</v>
          </cell>
          <cell r="BH45">
            <v>2</v>
          </cell>
          <cell r="BI45">
            <v>2</v>
          </cell>
          <cell r="BJ45">
            <v>4</v>
          </cell>
          <cell r="BK45">
            <v>2</v>
          </cell>
          <cell r="BL45">
            <v>2</v>
          </cell>
          <cell r="BM45">
            <v>4</v>
          </cell>
          <cell r="BO45">
            <v>24</v>
          </cell>
          <cell r="BP45">
            <v>0</v>
          </cell>
          <cell r="BQ45">
            <v>0</v>
          </cell>
          <cell r="BR45">
            <v>28</v>
          </cell>
          <cell r="BS45">
            <v>0</v>
          </cell>
          <cell r="BT45">
            <v>0</v>
          </cell>
          <cell r="BU45">
            <v>1</v>
          </cell>
          <cell r="BV45">
            <v>2</v>
          </cell>
          <cell r="BW45">
            <v>1</v>
          </cell>
          <cell r="BX45">
            <v>1</v>
          </cell>
          <cell r="BY45">
            <v>2</v>
          </cell>
          <cell r="BZ45">
            <v>1</v>
          </cell>
          <cell r="CG45" t="str">
            <v>730x820-G-900-SUEDE-s28p1M10HC</v>
          </cell>
        </row>
        <row r="46">
          <cell r="B46">
            <v>4</v>
          </cell>
          <cell r="BH46">
            <v>3</v>
          </cell>
          <cell r="BI46">
            <v>3</v>
          </cell>
          <cell r="BJ46">
            <v>6</v>
          </cell>
          <cell r="BK46">
            <v>2</v>
          </cell>
          <cell r="BL46">
            <v>2</v>
          </cell>
          <cell r="BM46">
            <v>4</v>
          </cell>
          <cell r="BO46">
            <v>40</v>
          </cell>
          <cell r="BP46">
            <v>0</v>
          </cell>
          <cell r="BQ46">
            <v>0</v>
          </cell>
          <cell r="BR46">
            <v>40</v>
          </cell>
          <cell r="BS46">
            <v>0</v>
          </cell>
          <cell r="BT46">
            <v>0</v>
          </cell>
          <cell r="BU46">
            <v>1</v>
          </cell>
          <cell r="BV46">
            <v>2</v>
          </cell>
          <cell r="BW46">
            <v>1</v>
          </cell>
          <cell r="BX46">
            <v>1</v>
          </cell>
          <cell r="BY46">
            <v>2</v>
          </cell>
          <cell r="BZ46">
            <v>1</v>
          </cell>
          <cell r="CG46" t="str">
            <v>995x820-G-900-SUEDE-s40p1M10HC</v>
          </cell>
        </row>
        <row r="47">
          <cell r="B47">
            <v>4</v>
          </cell>
          <cell r="BH47">
            <v>2</v>
          </cell>
          <cell r="BI47">
            <v>2</v>
          </cell>
          <cell r="BJ47">
            <v>4</v>
          </cell>
          <cell r="BK47">
            <v>2</v>
          </cell>
          <cell r="BL47">
            <v>2</v>
          </cell>
          <cell r="BM47">
            <v>4</v>
          </cell>
          <cell r="BO47">
            <v>21</v>
          </cell>
          <cell r="BP47">
            <v>0</v>
          </cell>
          <cell r="BQ47">
            <v>0</v>
          </cell>
          <cell r="BR47">
            <v>28</v>
          </cell>
          <cell r="BS47">
            <v>0</v>
          </cell>
          <cell r="BT47">
            <v>0</v>
          </cell>
          <cell r="BU47">
            <v>1</v>
          </cell>
          <cell r="BV47">
            <v>2</v>
          </cell>
          <cell r="BW47">
            <v>1</v>
          </cell>
          <cell r="BX47">
            <v>1</v>
          </cell>
          <cell r="BY47">
            <v>2</v>
          </cell>
          <cell r="BZ47">
            <v>1</v>
          </cell>
          <cell r="CG47" t="str">
            <v>730x790-G-900-SUEDE-s28p1M10HC</v>
          </cell>
        </row>
        <row r="48">
          <cell r="B48">
            <v>4</v>
          </cell>
          <cell r="BH48">
            <v>2</v>
          </cell>
          <cell r="BI48">
            <v>2</v>
          </cell>
          <cell r="BJ48">
            <v>4</v>
          </cell>
          <cell r="BK48">
            <v>2</v>
          </cell>
          <cell r="BL48">
            <v>2</v>
          </cell>
          <cell r="BM48">
            <v>4</v>
          </cell>
          <cell r="BO48">
            <v>24</v>
          </cell>
          <cell r="BP48">
            <v>0</v>
          </cell>
          <cell r="BQ48">
            <v>0</v>
          </cell>
          <cell r="BR48">
            <v>27</v>
          </cell>
          <cell r="BS48">
            <v>0</v>
          </cell>
          <cell r="BT48">
            <v>0</v>
          </cell>
          <cell r="BU48">
            <v>1</v>
          </cell>
          <cell r="BV48">
            <v>2</v>
          </cell>
          <cell r="BW48">
            <v>1</v>
          </cell>
          <cell r="BX48">
            <v>1</v>
          </cell>
          <cell r="BY48">
            <v>2</v>
          </cell>
          <cell r="BZ48">
            <v>1</v>
          </cell>
          <cell r="CG48" t="str">
            <v>895x680-G-900-SUEDE-s27p1M10HC</v>
          </cell>
        </row>
        <row r="49">
          <cell r="B49">
            <v>4</v>
          </cell>
          <cell r="BH49">
            <v>2</v>
          </cell>
          <cell r="BI49">
            <v>2</v>
          </cell>
          <cell r="BJ49">
            <v>4</v>
          </cell>
          <cell r="BK49">
            <v>2</v>
          </cell>
          <cell r="BL49">
            <v>2</v>
          </cell>
          <cell r="BM49">
            <v>4</v>
          </cell>
          <cell r="BO49">
            <v>24</v>
          </cell>
          <cell r="BP49">
            <v>0</v>
          </cell>
          <cell r="BQ49">
            <v>0</v>
          </cell>
          <cell r="BR49">
            <v>27</v>
          </cell>
          <cell r="BS49">
            <v>0</v>
          </cell>
          <cell r="BT49">
            <v>0</v>
          </cell>
          <cell r="BU49">
            <v>1</v>
          </cell>
          <cell r="BV49">
            <v>2</v>
          </cell>
          <cell r="BW49">
            <v>1</v>
          </cell>
          <cell r="BX49">
            <v>1</v>
          </cell>
          <cell r="BY49">
            <v>2</v>
          </cell>
          <cell r="BZ49">
            <v>1</v>
          </cell>
          <cell r="CG49" t="str">
            <v>908x680-G-900-SUEDE-s27p1M10HC</v>
          </cell>
        </row>
        <row r="50">
          <cell r="B50">
            <v>1</v>
          </cell>
          <cell r="BH50">
            <v>4</v>
          </cell>
          <cell r="BI50">
            <v>4</v>
          </cell>
          <cell r="BJ50">
            <v>8</v>
          </cell>
          <cell r="BK50">
            <v>3</v>
          </cell>
          <cell r="BL50">
            <v>3</v>
          </cell>
          <cell r="BM50">
            <v>6</v>
          </cell>
          <cell r="BO50">
            <v>96</v>
          </cell>
          <cell r="BP50">
            <v>48</v>
          </cell>
          <cell r="BQ50">
            <v>96</v>
          </cell>
          <cell r="BR50">
            <v>72</v>
          </cell>
          <cell r="BS50">
            <v>48</v>
          </cell>
          <cell r="BT50">
            <v>90</v>
          </cell>
          <cell r="BU50">
            <v>1</v>
          </cell>
          <cell r="BV50">
            <v>2</v>
          </cell>
          <cell r="BW50">
            <v>1</v>
          </cell>
          <cell r="BX50">
            <v>1</v>
          </cell>
          <cell r="BY50">
            <v>2</v>
          </cell>
          <cell r="BZ50">
            <v>1</v>
          </cell>
          <cell r="CG50" t="str">
            <v>1567x1260-G-904-MATT-SNOW -s96p1M10HC</v>
          </cell>
        </row>
        <row r="51">
          <cell r="B51">
            <v>4</v>
          </cell>
          <cell r="BH51">
            <v>0</v>
          </cell>
          <cell r="BI51">
            <v>0</v>
          </cell>
          <cell r="BJ51">
            <v>0</v>
          </cell>
          <cell r="BK51">
            <v>3</v>
          </cell>
          <cell r="BL51">
            <v>3</v>
          </cell>
          <cell r="BM51">
            <v>6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1</v>
          </cell>
          <cell r="BV51">
            <v>2</v>
          </cell>
          <cell r="BW51">
            <v>1</v>
          </cell>
          <cell r="BX51">
            <v>1</v>
          </cell>
          <cell r="BY51">
            <v>2</v>
          </cell>
          <cell r="BZ51">
            <v>1</v>
          </cell>
          <cell r="CG51" t="str">
            <v>100x1200-G-900-SUEDE-s0p1M10HC</v>
          </cell>
        </row>
        <row r="52">
          <cell r="B52">
            <v>4</v>
          </cell>
          <cell r="BH52">
            <v>3</v>
          </cell>
          <cell r="BI52">
            <v>3</v>
          </cell>
          <cell r="BJ52">
            <v>6</v>
          </cell>
          <cell r="BK52">
            <v>3</v>
          </cell>
          <cell r="BL52">
            <v>3</v>
          </cell>
          <cell r="BM52">
            <v>6</v>
          </cell>
          <cell r="BO52">
            <v>50</v>
          </cell>
          <cell r="BP52">
            <v>0</v>
          </cell>
          <cell r="BQ52">
            <v>0</v>
          </cell>
          <cell r="BR52">
            <v>50</v>
          </cell>
          <cell r="BS52">
            <v>0</v>
          </cell>
          <cell r="BT52">
            <v>0</v>
          </cell>
          <cell r="BU52">
            <v>1</v>
          </cell>
          <cell r="BV52">
            <v>2</v>
          </cell>
          <cell r="BW52">
            <v>1</v>
          </cell>
          <cell r="BX52">
            <v>1</v>
          </cell>
          <cell r="BY52">
            <v>2</v>
          </cell>
          <cell r="BZ52">
            <v>1</v>
          </cell>
          <cell r="CG52" t="str">
            <v>1000x1000-G-900-SUEDE-s50p1M10HC</v>
          </cell>
        </row>
        <row r="53">
          <cell r="B53">
            <v>4</v>
          </cell>
          <cell r="BH53">
            <v>0</v>
          </cell>
          <cell r="BI53">
            <v>0</v>
          </cell>
          <cell r="BJ53">
            <v>0</v>
          </cell>
          <cell r="BK53">
            <v>4</v>
          </cell>
          <cell r="BL53">
            <v>4</v>
          </cell>
          <cell r="BM53">
            <v>8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1</v>
          </cell>
          <cell r="BV53">
            <v>2</v>
          </cell>
          <cell r="BW53">
            <v>1</v>
          </cell>
          <cell r="BX53">
            <v>1</v>
          </cell>
          <cell r="BY53">
            <v>2</v>
          </cell>
          <cell r="BZ53">
            <v>1</v>
          </cell>
          <cell r="CG53" t="str">
            <v>100x1600-G-900-SUEDE-s0p1M10HC</v>
          </cell>
        </row>
        <row r="54">
          <cell r="B54">
            <v>4</v>
          </cell>
          <cell r="BH54">
            <v>0</v>
          </cell>
          <cell r="BI54">
            <v>0</v>
          </cell>
          <cell r="BJ54">
            <v>0</v>
          </cell>
          <cell r="BK54">
            <v>4</v>
          </cell>
          <cell r="BL54">
            <v>4</v>
          </cell>
          <cell r="BM54">
            <v>8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1</v>
          </cell>
          <cell r="BV54">
            <v>2</v>
          </cell>
          <cell r="BW54">
            <v>1</v>
          </cell>
          <cell r="BX54">
            <v>1</v>
          </cell>
          <cell r="BY54">
            <v>2</v>
          </cell>
          <cell r="BZ54">
            <v>1</v>
          </cell>
          <cell r="CG54" t="str">
            <v>100x1601-G-900-SUEDE-s0p1M10HC</v>
          </cell>
        </row>
        <row r="55">
          <cell r="B55">
            <v>4</v>
          </cell>
          <cell r="BH55">
            <v>0</v>
          </cell>
          <cell r="BI55">
            <v>0</v>
          </cell>
          <cell r="BJ55">
            <v>0</v>
          </cell>
          <cell r="BK55">
            <v>5</v>
          </cell>
          <cell r="BL55">
            <v>5</v>
          </cell>
          <cell r="BM55">
            <v>10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1</v>
          </cell>
          <cell r="BV55">
            <v>2</v>
          </cell>
          <cell r="BW55">
            <v>1</v>
          </cell>
          <cell r="BX55">
            <v>1</v>
          </cell>
          <cell r="BY55">
            <v>2</v>
          </cell>
          <cell r="BZ55">
            <v>1</v>
          </cell>
          <cell r="CG55" t="str">
            <v>100x2000-G-900-SUEDE-s0p1M10HC</v>
          </cell>
        </row>
        <row r="56">
          <cell r="B56">
            <v>4</v>
          </cell>
          <cell r="BH56">
            <v>0</v>
          </cell>
          <cell r="BI56">
            <v>0</v>
          </cell>
          <cell r="BJ56">
            <v>0</v>
          </cell>
          <cell r="BK56">
            <v>6</v>
          </cell>
          <cell r="BL56">
            <v>6</v>
          </cell>
          <cell r="BM56">
            <v>12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1</v>
          </cell>
          <cell r="BV56">
            <v>2</v>
          </cell>
          <cell r="BW56">
            <v>1</v>
          </cell>
          <cell r="BX56">
            <v>1</v>
          </cell>
          <cell r="BY56">
            <v>2</v>
          </cell>
          <cell r="BZ56">
            <v>1</v>
          </cell>
          <cell r="CG56" t="str">
            <v>100x2399-G-900-SUEDE-s0p1M10HC</v>
          </cell>
        </row>
        <row r="57">
          <cell r="B57">
            <v>4</v>
          </cell>
          <cell r="BH57">
            <v>0</v>
          </cell>
          <cell r="BI57">
            <v>0</v>
          </cell>
          <cell r="BJ57">
            <v>0</v>
          </cell>
          <cell r="BK57">
            <v>6</v>
          </cell>
          <cell r="BL57">
            <v>6</v>
          </cell>
          <cell r="BM57">
            <v>12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1</v>
          </cell>
          <cell r="BV57">
            <v>2</v>
          </cell>
          <cell r="BW57">
            <v>1</v>
          </cell>
          <cell r="BX57">
            <v>1</v>
          </cell>
          <cell r="BY57">
            <v>2</v>
          </cell>
          <cell r="BZ57">
            <v>1</v>
          </cell>
          <cell r="CG57" t="str">
            <v>100x2400-G-900-SUEDE-s0p1M10HC</v>
          </cell>
        </row>
        <row r="58">
          <cell r="B58">
            <v>4</v>
          </cell>
          <cell r="BH58">
            <v>0</v>
          </cell>
          <cell r="BI58">
            <v>0</v>
          </cell>
          <cell r="BJ58">
            <v>0</v>
          </cell>
          <cell r="BK58">
            <v>6</v>
          </cell>
          <cell r="BL58">
            <v>6</v>
          </cell>
          <cell r="BM58">
            <v>12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</v>
          </cell>
          <cell r="BV58">
            <v>2</v>
          </cell>
          <cell r="BW58">
            <v>1</v>
          </cell>
          <cell r="BX58">
            <v>1</v>
          </cell>
          <cell r="BY58">
            <v>2</v>
          </cell>
          <cell r="BZ58">
            <v>1</v>
          </cell>
          <cell r="CG58" t="str">
            <v>100x2500-G-900-SUEDE-s0p1M10HC</v>
          </cell>
        </row>
        <row r="59">
          <cell r="B59">
            <v>4</v>
          </cell>
          <cell r="BH59">
            <v>0</v>
          </cell>
          <cell r="BI59">
            <v>0</v>
          </cell>
          <cell r="BJ59">
            <v>0</v>
          </cell>
          <cell r="BK59">
            <v>6</v>
          </cell>
          <cell r="BL59">
            <v>6</v>
          </cell>
          <cell r="BM59">
            <v>12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1</v>
          </cell>
          <cell r="BV59">
            <v>2</v>
          </cell>
          <cell r="BW59">
            <v>1</v>
          </cell>
          <cell r="BX59">
            <v>1</v>
          </cell>
          <cell r="BY59">
            <v>2</v>
          </cell>
          <cell r="BZ59">
            <v>1</v>
          </cell>
          <cell r="CG59" t="str">
            <v>200x2699-G-900-SUEDE-s0p1M10HC</v>
          </cell>
        </row>
        <row r="60">
          <cell r="B60">
            <v>1</v>
          </cell>
          <cell r="BH60">
            <v>1</v>
          </cell>
          <cell r="BI60">
            <v>1</v>
          </cell>
          <cell r="BJ60">
            <v>2</v>
          </cell>
          <cell r="BK60">
            <v>1</v>
          </cell>
          <cell r="BL60">
            <v>1</v>
          </cell>
          <cell r="BM60">
            <v>2</v>
          </cell>
          <cell r="BO60">
            <v>2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1</v>
          </cell>
          <cell r="BV60">
            <v>2</v>
          </cell>
          <cell r="BW60">
            <v>1</v>
          </cell>
          <cell r="BX60">
            <v>1</v>
          </cell>
          <cell r="BY60">
            <v>2</v>
          </cell>
          <cell r="BZ60">
            <v>1</v>
          </cell>
          <cell r="CG60" t="str">
            <v>229x246-G-900-SUEDE-s2p1M10HC</v>
          </cell>
        </row>
      </sheetData>
      <sheetData sheetId="10"/>
      <sheetData sheetId="11">
        <row r="1">
          <cell r="C1">
            <v>2</v>
          </cell>
        </row>
        <row r="15">
          <cell r="C15">
            <v>189</v>
          </cell>
          <cell r="D15">
            <v>24</v>
          </cell>
        </row>
        <row r="16">
          <cell r="C16">
            <v>7</v>
          </cell>
          <cell r="D16">
            <v>2</v>
          </cell>
        </row>
        <row r="17">
          <cell r="C17">
            <v>1</v>
          </cell>
          <cell r="D17">
            <v>2</v>
          </cell>
        </row>
        <row r="18">
          <cell r="C18">
            <v>18.272549999999999</v>
          </cell>
          <cell r="D18">
            <v>17.16888888888889</v>
          </cell>
        </row>
        <row r="19">
          <cell r="C19" t="str">
            <v>895x1205-G-900-SUEDE-27s7pG1div5</v>
          </cell>
          <cell r="D19" t="str">
            <v>895x1205-G-900-SUEDE-s24p2M10HC</v>
          </cell>
        </row>
        <row r="20">
          <cell r="C20" t="str">
            <v>Product datasheet 895x1205-G-900-SUEDE-27s7pG1div5</v>
          </cell>
          <cell r="D20" t="str">
            <v>Product datasheet 895x1205-G-900-SUEDE-s24p2M10HC</v>
          </cell>
        </row>
        <row r="21">
          <cell r="C21">
            <v>13.513820000000001</v>
          </cell>
          <cell r="D21">
            <v>14.498058252427183</v>
          </cell>
        </row>
        <row r="22">
          <cell r="C22">
            <v>6.9229503334576688E-12</v>
          </cell>
          <cell r="D22">
            <v>5.7800406795817397E-12</v>
          </cell>
        </row>
        <row r="23">
          <cell r="C23">
            <v>3.364991132143267E-2</v>
          </cell>
          <cell r="D23">
            <v>8.653207892060092E-3</v>
          </cell>
        </row>
        <row r="24">
          <cell r="C24">
            <v>188.14926000000003</v>
          </cell>
          <cell r="D24">
            <v>192.83710895361381</v>
          </cell>
        </row>
        <row r="25">
          <cell r="C25">
            <v>14.975250000000001</v>
          </cell>
          <cell r="D25">
            <v>14.382222222222222</v>
          </cell>
        </row>
        <row r="26">
          <cell r="C26">
            <v>174.45861981038041</v>
          </cell>
          <cell r="D26">
            <v>178.80535844930461</v>
          </cell>
        </row>
        <row r="27">
          <cell r="C27">
            <v>12.56443</v>
          </cell>
          <cell r="D27">
            <v>12.300970873786408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"/>
  <sheetViews>
    <sheetView workbookViewId="0">
      <selection activeCell="E8" sqref="E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22</v>
      </c>
      <c r="B2" t="s">
        <v>17</v>
      </c>
      <c r="C2" t="s">
        <v>18</v>
      </c>
      <c r="D2" t="s">
        <v>19</v>
      </c>
      <c r="E2" t="s">
        <v>20</v>
      </c>
      <c r="F2" s="2">
        <f>176*0.71</f>
        <v>124.96</v>
      </c>
      <c r="G2" s="1">
        <f>F2/(N2*O2/10^6)</f>
        <v>115.34165905168037</v>
      </c>
      <c r="H2">
        <v>33.9</v>
      </c>
      <c r="I2" s="1">
        <f>6.49*0.71</f>
        <v>4.6078999999999999</v>
      </c>
      <c r="J2">
        <v>28.7</v>
      </c>
      <c r="K2" s="1">
        <f>6.13*0.71</f>
        <v>4.3522999999999996</v>
      </c>
      <c r="L2">
        <v>11.6</v>
      </c>
      <c r="M2">
        <v>18.3</v>
      </c>
      <c r="N2">
        <v>1617</v>
      </c>
      <c r="O2">
        <v>670</v>
      </c>
      <c r="P2">
        <v>6.4</v>
      </c>
      <c r="Q2" t="s">
        <v>21</v>
      </c>
    </row>
    <row r="3" spans="1:17" x14ac:dyDescent="0.3">
      <c r="A3" t="s">
        <v>24</v>
      </c>
      <c r="B3" t="s">
        <v>17</v>
      </c>
      <c r="C3" t="s">
        <v>18</v>
      </c>
      <c r="D3" t="s">
        <v>19</v>
      </c>
      <c r="E3" t="s">
        <v>20</v>
      </c>
      <c r="F3" s="2">
        <v>100</v>
      </c>
      <c r="G3" s="1">
        <f>F3/(N3*O3/10^6)</f>
        <v>200</v>
      </c>
      <c r="H3">
        <v>30</v>
      </c>
      <c r="I3" s="1">
        <v>4</v>
      </c>
      <c r="J3">
        <v>28</v>
      </c>
      <c r="K3" s="1">
        <v>6</v>
      </c>
      <c r="L3">
        <v>11</v>
      </c>
      <c r="M3">
        <v>15</v>
      </c>
      <c r="N3">
        <v>1000</v>
      </c>
      <c r="O3">
        <v>500</v>
      </c>
      <c r="P3">
        <v>6.4</v>
      </c>
      <c r="Q3" t="s">
        <v>23</v>
      </c>
    </row>
    <row r="4" spans="1:17" x14ac:dyDescent="0.3">
      <c r="F4" s="2"/>
      <c r="G4" s="1"/>
      <c r="I4" s="1"/>
      <c r="K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CA95-F6A1-423A-8A92-1CDD43B584FE}">
  <dimension ref="A1:JR351"/>
  <sheetViews>
    <sheetView tabSelected="1" workbookViewId="0">
      <selection activeCell="B5" sqref="B5"/>
    </sheetView>
  </sheetViews>
  <sheetFormatPr defaultRowHeight="14.4" x14ac:dyDescent="0.3"/>
  <cols>
    <col min="2" max="2" width="21.21875" bestFit="1" customWidth="1"/>
    <col min="3" max="3" width="51" customWidth="1"/>
    <col min="4" max="4" width="44.77734375" bestFit="1" customWidth="1"/>
    <col min="5" max="5" width="51" bestFit="1" customWidth="1"/>
    <col min="6" max="11" width="12" bestFit="1" customWidth="1"/>
  </cols>
  <sheetData>
    <row r="1" spans="2:5" x14ac:dyDescent="0.3">
      <c r="B1" t="s">
        <v>25</v>
      </c>
      <c r="C1">
        <v>2</v>
      </c>
    </row>
    <row r="2" spans="2:5" x14ac:dyDescent="0.3">
      <c r="B2" t="s">
        <v>26</v>
      </c>
      <c r="C2" t="str" cm="1">
        <f t="array" ref="C2">INDEX('[1]1.Dashboard'!B11:B40,C1)</f>
        <v>B</v>
      </c>
    </row>
    <row r="3" spans="2:5" x14ac:dyDescent="0.3">
      <c r="B3" t="s">
        <v>27</v>
      </c>
      <c r="C3" cm="1">
        <f t="array" ref="C3">INDEX('[1]1.Dashboard'!I11:I40,C1)</f>
        <v>1</v>
      </c>
    </row>
    <row r="6" spans="2:5" x14ac:dyDescent="0.3">
      <c r="B6" t="s">
        <v>28</v>
      </c>
      <c r="C6" cm="1">
        <f t="array" ref="C6">INDEX('[1]1.Dashboard'!D11:D40,modulenr)</f>
        <v>895</v>
      </c>
    </row>
    <row r="7" spans="2:5" x14ac:dyDescent="0.3">
      <c r="B7" t="s">
        <v>29</v>
      </c>
      <c r="C7" cm="1">
        <f t="array" ref="C7">INDEX('[1]1.Dashboard'!E11:E40,modulenr)</f>
        <v>1205</v>
      </c>
    </row>
    <row r="14" spans="2:5" x14ac:dyDescent="0.3">
      <c r="C14" s="3" t="s">
        <v>30</v>
      </c>
      <c r="D14" s="3" t="s">
        <v>31</v>
      </c>
      <c r="E14" s="3" t="s">
        <v>32</v>
      </c>
    </row>
    <row r="15" spans="2:5" x14ac:dyDescent="0.3">
      <c r="B15" t="s">
        <v>33</v>
      </c>
      <c r="C15" cm="1">
        <f t="array" ref="C15">INDEX([1]S3!EZ11:EZ40,modulenr)</f>
        <v>189</v>
      </c>
      <c r="D15" cm="1">
        <f t="array" ref="D15">INDEX([1]B1!BO31:BT60,modulenr,INDEX([1]B1!B$31:B$60,modulenr))</f>
        <v>24</v>
      </c>
      <c r="E15">
        <f>IF('[1]1.Dashboard'!$I$2=shingling,[1]DS!C15,[1]DS!D15)</f>
        <v>189</v>
      </c>
    </row>
    <row r="16" spans="2:5" x14ac:dyDescent="0.3">
      <c r="B16" t="s">
        <v>34</v>
      </c>
      <c r="C16" cm="1">
        <f t="array" ref="C16">INDEX('[1]1.Dashboard'!T11:T40,modulenr)</f>
        <v>7</v>
      </c>
      <c r="D16" cm="1">
        <f t="array" ref="D16">INDEX([1]B1!BU31:BZ60,modulenr,[1]B1!B31)</f>
        <v>2</v>
      </c>
      <c r="E16">
        <f>IF('[1]1.Dashboard'!$I$2=shingling,[1]DS!C16,[1]DS!D16)</f>
        <v>7</v>
      </c>
    </row>
    <row r="17" spans="2:5" x14ac:dyDescent="0.3">
      <c r="B17" t="s">
        <v>35</v>
      </c>
      <c r="C17" cm="1">
        <f t="array" ref="C17">INDEX([1]S3!EW11:EW40,C1,1)</f>
        <v>1</v>
      </c>
      <c r="D17" cm="1">
        <f t="array" ref="D17">INDEX([1]B1!BH31:BM60,modulenr,INDEX([1]B1!$B$31:$B$60,modulenr))</f>
        <v>2</v>
      </c>
      <c r="E17">
        <f>IF('[1]1.Dashboard'!$I$2=shingling,[1]DS!C17,[1]DS!D17)</f>
        <v>1</v>
      </c>
    </row>
    <row r="18" spans="2:5" x14ac:dyDescent="0.3">
      <c r="B18" t="s">
        <v>36</v>
      </c>
      <c r="C18" cm="1">
        <f t="array" ref="C18">INDEX('[1]1.Dashboard'!O11:O40,C1)</f>
        <v>18.272549999999999</v>
      </c>
      <c r="D18" cm="1">
        <f t="array" ref="D18">INDEX('[1]1.Dashboard'!AE11:AE40,C1)</f>
        <v>17.16888888888889</v>
      </c>
      <c r="E18">
        <f>IF('[1]1.Dashboard'!$I$2=shingling,[1]DS!C18,[1]DS!D18)</f>
        <v>18.272549999999999</v>
      </c>
    </row>
    <row r="19" spans="2:5" x14ac:dyDescent="0.3">
      <c r="B19" t="s">
        <v>37</v>
      </c>
      <c r="C19" t="str" cm="1">
        <f t="array" ref="C19">INDEX([1]S3!$FA$11:$FA$40,[1]DS!$C$1)</f>
        <v>895x1205-G-900-SUEDE-27s7pG1div5</v>
      </c>
      <c r="D19" t="str" cm="1">
        <f t="array" ref="D19">INDEX([1]B1!CG31:CG60,modulenr)</f>
        <v>895x1205-G-900-SUEDE-s24p2M10HC</v>
      </c>
      <c r="E19" t="str">
        <f>IF('[1]1.Dashboard'!$I$2=shingling,[1]DS!C19,[1]DS!D19)</f>
        <v>895x1205-G-900-SUEDE-27s7pG1div5</v>
      </c>
    </row>
    <row r="20" spans="2:5" x14ac:dyDescent="0.3">
      <c r="B20" t="s">
        <v>38</v>
      </c>
      <c r="C20" t="str">
        <f>"Product datasheet "&amp;E19</f>
        <v>Product datasheet 895x1205-G-900-SUEDE-27s7pG1div5</v>
      </c>
      <c r="D20" t="str">
        <f>"Product datasheet "&amp;D19</f>
        <v>Product datasheet 895x1205-G-900-SUEDE-s24p2M10HC</v>
      </c>
      <c r="E20" t="str">
        <f>IF('[1]1.Dashboard'!$I$2=shingling,[1]DS!C20,[1]DS!D20)</f>
        <v>Product datasheet 895x1205-G-900-SUEDE-27s7pG1div5</v>
      </c>
    </row>
    <row r="21" spans="2:5" x14ac:dyDescent="0.3">
      <c r="B21" t="s">
        <v>39</v>
      </c>
      <c r="C21" cm="1">
        <f t="array" ref="C21">INDEX('[1]1.Dashboard'!$Q$11:$Q$40,modulenr)</f>
        <v>13.513820000000001</v>
      </c>
      <c r="D21" cm="1">
        <f t="array" ref="D21">INDEX('[1]1.Dashboard'!AG11:AG60,modulenr)</f>
        <v>14.498058252427183</v>
      </c>
      <c r="E21">
        <f>IF('[1]1.Dashboard'!$I$2=shingling,[1]DS!C21,[1]DS!D21)</f>
        <v>13.513820000000001</v>
      </c>
    </row>
    <row r="22" spans="2:5" x14ac:dyDescent="0.3">
      <c r="B22" t="s">
        <v>40</v>
      </c>
      <c r="C22">
        <f>[1]T1!N15</f>
        <v>6.9229503334576688E-12</v>
      </c>
      <c r="D22">
        <f>[1]T1!N27</f>
        <v>5.7800406795817397E-12</v>
      </c>
      <c r="E22">
        <f>IF('[1]1.Dashboard'!$I$2=shingling,[1]DS!C22,[1]DS!D22)</f>
        <v>6.9229503334576688E-12</v>
      </c>
    </row>
    <row r="23" spans="2:5" x14ac:dyDescent="0.3">
      <c r="B23" t="s">
        <v>41</v>
      </c>
      <c r="C23" s="4">
        <f>[1]T1!M15</f>
        <v>3.364991132143267E-2</v>
      </c>
      <c r="D23" s="4">
        <f>[1]T1!M27</f>
        <v>8.653207892060092E-3</v>
      </c>
      <c r="E23" s="4">
        <f>IF('[1]1.Dashboard'!$I$2=shingling,[1]DS!C23,[1]DS!D23)</f>
        <v>3.364991132143267E-2</v>
      </c>
    </row>
    <row r="24" spans="2:5" x14ac:dyDescent="0.3">
      <c r="B24" t="s">
        <v>42</v>
      </c>
      <c r="C24" s="4" cm="1">
        <f t="array" ref="C24">INDEX('[1]1.Dashboard'!M11:M40,modulenr)</f>
        <v>188.14926000000003</v>
      </c>
      <c r="D24" s="4" cm="1">
        <f t="array" ref="D24">INDEX('[1]1.Dashboard'!AC11:AC40,modulenr)</f>
        <v>192.83710895361381</v>
      </c>
      <c r="E24" s="4">
        <f>IF('[1]1.Dashboard'!$I$2=shingling,[1]DS!C24,[1]DS!D24)</f>
        <v>188.14926000000003</v>
      </c>
    </row>
    <row r="25" spans="2:5" x14ac:dyDescent="0.3">
      <c r="B25" t="s">
        <v>43</v>
      </c>
      <c r="C25" s="4" cm="1">
        <f t="array" ref="C25">INDEX('[1]1.Dashboard'!P11:P40,[1]DS!C1)</f>
        <v>14.975250000000001</v>
      </c>
      <c r="D25" s="4" cm="1">
        <f t="array" ref="D25">INDEX('[1]1.Dashboard'!AF11:AF40,modulenr)</f>
        <v>14.382222222222222</v>
      </c>
      <c r="E25" s="4">
        <f>IF('[1]1.Dashboard'!$I$2=shingling,[1]DS!C25,[1]DS!D25)</f>
        <v>14.975250000000001</v>
      </c>
    </row>
    <row r="26" spans="2:5" x14ac:dyDescent="0.3">
      <c r="B26" t="s">
        <v>44</v>
      </c>
      <c r="C26" s="4" cm="1">
        <f t="array" ref="C26">INDEX('[1]1.Dashboard'!N11:N40,modulenr)</f>
        <v>174.45861981038041</v>
      </c>
      <c r="D26" s="4" cm="1">
        <f t="array" ref="D26">INDEX('[1]1.Dashboard'!AD11:AD40,modulenr)</f>
        <v>178.80535844930461</v>
      </c>
      <c r="E26" s="4">
        <f>IF('[1]1.Dashboard'!$I$2=shingling,[1]DS!C26,[1]DS!D26)</f>
        <v>174.45861981038041</v>
      </c>
    </row>
    <row r="27" spans="2:5" x14ac:dyDescent="0.3">
      <c r="B27" t="s">
        <v>45</v>
      </c>
      <c r="C27" s="4" cm="1">
        <f t="array" ref="C27">INDEX('[1]1.Dashboard'!$R$11:$R$40,modulenr)</f>
        <v>12.56443</v>
      </c>
      <c r="D27" s="4" cm="1">
        <f t="array" ref="D27">INDEX('[1]1.Dashboard'!AH11:AH60,modulenr)</f>
        <v>12.300970873786408</v>
      </c>
      <c r="E27" s="4">
        <f>IF('[1]1.Dashboard'!$I$2=shingling,[1]DS!C27,[1]DS!D27)</f>
        <v>12.56443</v>
      </c>
    </row>
    <row r="28" spans="2:5" x14ac:dyDescent="0.3">
      <c r="C28" s="4"/>
      <c r="D28" s="4"/>
      <c r="E28" s="4"/>
    </row>
    <row r="29" spans="2:5" x14ac:dyDescent="0.3">
      <c r="C29" s="4"/>
      <c r="D29" s="4"/>
      <c r="E29" s="4"/>
    </row>
    <row r="30" spans="2:5" x14ac:dyDescent="0.3">
      <c r="C30" s="4"/>
      <c r="D30" s="4"/>
      <c r="E30" s="4"/>
    </row>
    <row r="31" spans="2:5" x14ac:dyDescent="0.3">
      <c r="C31" s="4"/>
      <c r="D31" s="4"/>
      <c r="E31" s="4"/>
    </row>
    <row r="32" spans="2:5" x14ac:dyDescent="0.3">
      <c r="B32" t="s">
        <v>46</v>
      </c>
      <c r="C32" s="5">
        <f>(L45-C45)/AVERAGE(C45,L45)</f>
        <v>-8.7127975450452101E-4</v>
      </c>
    </row>
    <row r="33" spans="1:278" x14ac:dyDescent="0.3">
      <c r="B33" t="s">
        <v>47</v>
      </c>
      <c r="C33" s="5">
        <f>(-0.0043+[1]T1!G15/300)/[1]T1!G15</f>
        <v>-3.0204596512254725E-3</v>
      </c>
    </row>
    <row r="34" spans="1:278" x14ac:dyDescent="0.3">
      <c r="B34" t="s">
        <v>48</v>
      </c>
      <c r="C34" cm="1">
        <f t="array" ref="C34">COLUMN()-COLUMN($C:$C)+1</f>
        <v>1</v>
      </c>
      <c r="D34" cm="1">
        <f t="array" ref="D34">COLUMN()-COLUMN($C:$C)+1</f>
        <v>2</v>
      </c>
      <c r="E34" cm="1">
        <f t="array" ref="E34">COLUMN()-COLUMN($C:$C)+1</f>
        <v>3</v>
      </c>
      <c r="F34" cm="1">
        <f t="array" ref="F34">COLUMN()-COLUMN($C:$C)+1</f>
        <v>4</v>
      </c>
      <c r="G34" cm="1">
        <f t="array" ref="G34">COLUMN()-COLUMN($C:$C)+1</f>
        <v>5</v>
      </c>
      <c r="H34" cm="1">
        <f t="array" ref="H34">COLUMN()-COLUMN($C:$C)+1</f>
        <v>6</v>
      </c>
      <c r="I34" cm="1">
        <f t="array" ref="I34">COLUMN()-COLUMN($C:$C)+1</f>
        <v>7</v>
      </c>
      <c r="J34" cm="1">
        <f t="array" ref="J34">COLUMN()-COLUMN($C:$C)+1</f>
        <v>8</v>
      </c>
      <c r="K34" cm="1">
        <f t="array" ref="K34">COLUMN()-COLUMN($C:$C)+1</f>
        <v>9</v>
      </c>
      <c r="L34">
        <v>10</v>
      </c>
    </row>
    <row r="35" spans="1:278" x14ac:dyDescent="0.3">
      <c r="B35" t="s">
        <v>49</v>
      </c>
      <c r="C35" s="6">
        <v>1</v>
      </c>
      <c r="D35" s="6">
        <v>0.8</v>
      </c>
      <c r="E35" s="6">
        <v>0.6</v>
      </c>
      <c r="F35" s="6">
        <v>0.4</v>
      </c>
      <c r="G35" s="6">
        <v>0.2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</row>
    <row r="36" spans="1:278" x14ac:dyDescent="0.3">
      <c r="B36" t="s">
        <v>50</v>
      </c>
      <c r="C36">
        <v>25</v>
      </c>
      <c r="D36">
        <v>25</v>
      </c>
      <c r="E36">
        <v>25</v>
      </c>
      <c r="F36">
        <v>25</v>
      </c>
      <c r="G36">
        <v>25</v>
      </c>
      <c r="H36">
        <v>70</v>
      </c>
      <c r="I36">
        <v>50</v>
      </c>
      <c r="J36">
        <v>25</v>
      </c>
      <c r="K36">
        <v>0</v>
      </c>
      <c r="L36">
        <v>26</v>
      </c>
    </row>
    <row r="37" spans="1:278" x14ac:dyDescent="0.3">
      <c r="B37" t="s">
        <v>51</v>
      </c>
      <c r="C37">
        <f t="shared" ref="C37:K37" si="0">kB*(273.15+C36)/q</f>
        <v>2.569257912108585E-2</v>
      </c>
      <c r="D37">
        <f t="shared" si="0"/>
        <v>2.569257912108585E-2</v>
      </c>
      <c r="E37">
        <f t="shared" si="0"/>
        <v>2.569257912108585E-2</v>
      </c>
      <c r="F37">
        <f t="shared" si="0"/>
        <v>2.569257912108585E-2</v>
      </c>
      <c r="G37">
        <f t="shared" si="0"/>
        <v>2.569257912108585E-2</v>
      </c>
      <c r="H37">
        <f t="shared" si="0"/>
        <v>2.9570379089051177E-2</v>
      </c>
      <c r="I37">
        <f t="shared" si="0"/>
        <v>2.7846912436622143E-2</v>
      </c>
      <c r="J37">
        <f t="shared" si="0"/>
        <v>2.569257912108585E-2</v>
      </c>
      <c r="K37">
        <f t="shared" si="0"/>
        <v>2.353824580554955E-2</v>
      </c>
      <c r="L37">
        <f t="shared" ref="L37" si="1">kB*(273.15+L36)/q</f>
        <v>2.5778752453707299E-2</v>
      </c>
    </row>
    <row r="38" spans="1:278" x14ac:dyDescent="0.3">
      <c r="B38" t="s">
        <v>52</v>
      </c>
      <c r="C38">
        <f>273.15+C36</f>
        <v>298.14999999999998</v>
      </c>
      <c r="D38">
        <f t="shared" ref="D38:K38" si="2">273.15+D36</f>
        <v>298.14999999999998</v>
      </c>
      <c r="E38">
        <f t="shared" si="2"/>
        <v>298.14999999999998</v>
      </c>
      <c r="F38">
        <f t="shared" si="2"/>
        <v>298.14999999999998</v>
      </c>
      <c r="G38">
        <f t="shared" si="2"/>
        <v>298.14999999999998</v>
      </c>
      <c r="H38">
        <f t="shared" si="2"/>
        <v>343.15</v>
      </c>
      <c r="I38">
        <f t="shared" si="2"/>
        <v>323.14999999999998</v>
      </c>
      <c r="J38">
        <f t="shared" si="2"/>
        <v>298.14999999999998</v>
      </c>
      <c r="K38">
        <f t="shared" si="2"/>
        <v>273.14999999999998</v>
      </c>
      <c r="L38">
        <f>273.15+L36</f>
        <v>299.14999999999998</v>
      </c>
    </row>
    <row r="39" spans="1:278" x14ac:dyDescent="0.3">
      <c r="B39" t="s">
        <v>53</v>
      </c>
      <c r="C39">
        <f t="shared" ref="C39:K39" si="3">C38^3*EXP(-Vg0/(kB*C38/q) )</f>
        <v>1.3775450423865101E-13</v>
      </c>
      <c r="D39">
        <f t="shared" si="3"/>
        <v>1.3775450423865101E-13</v>
      </c>
      <c r="E39">
        <f t="shared" si="3"/>
        <v>1.3775450423865101E-13</v>
      </c>
      <c r="F39">
        <f t="shared" si="3"/>
        <v>1.3775450423865101E-13</v>
      </c>
      <c r="G39">
        <f t="shared" si="3"/>
        <v>1.3775450423865101E-13</v>
      </c>
      <c r="H39">
        <f t="shared" si="3"/>
        <v>9.6002455042407721E-11</v>
      </c>
      <c r="I39">
        <f t="shared" si="3"/>
        <v>6.5053325987371585E-12</v>
      </c>
      <c r="J39">
        <f t="shared" si="3"/>
        <v>1.3775450423865101E-13</v>
      </c>
      <c r="K39">
        <f t="shared" si="3"/>
        <v>1.4740007118280952E-15</v>
      </c>
      <c r="L39">
        <f t="shared" ref="L39" si="4">L38^3*EXP(-Vg0/(kB*L38/q) )</f>
        <v>1.6265765294189586E-13</v>
      </c>
    </row>
    <row r="40" spans="1:278" x14ac:dyDescent="0.3">
      <c r="B40" t="s">
        <v>54</v>
      </c>
      <c r="C40">
        <f>C39/$C39</f>
        <v>1</v>
      </c>
      <c r="D40">
        <f t="shared" ref="D40:K40" si="5">D39/$C39</f>
        <v>1</v>
      </c>
      <c r="E40">
        <f t="shared" si="5"/>
        <v>1</v>
      </c>
      <c r="F40">
        <f t="shared" si="5"/>
        <v>1</v>
      </c>
      <c r="G40">
        <f t="shared" si="5"/>
        <v>1</v>
      </c>
      <c r="H40">
        <f t="shared" si="5"/>
        <v>696.90973498833478</v>
      </c>
      <c r="I40">
        <f t="shared" si="5"/>
        <v>47.224100835694486</v>
      </c>
      <c r="J40">
        <f t="shared" si="5"/>
        <v>1</v>
      </c>
      <c r="K40">
        <f t="shared" si="5"/>
        <v>1.0700199750089345E-2</v>
      </c>
      <c r="L40">
        <f>L39/$C39</f>
        <v>1.1807791973183084</v>
      </c>
    </row>
    <row r="41" spans="1:278" x14ac:dyDescent="0.3">
      <c r="B41" t="s">
        <v>55</v>
      </c>
      <c r="C41" t="str">
        <f>TEXT(C35*1000,"#000")&amp;" W/m2"</f>
        <v>1000 W/m2</v>
      </c>
      <c r="D41" t="str">
        <f t="shared" ref="D41:G41" si="6">TEXT(D35*1000,"#000")&amp;" W/m2"</f>
        <v>800 W/m2</v>
      </c>
      <c r="E41" t="str">
        <f t="shared" si="6"/>
        <v>600 W/m2</v>
      </c>
      <c r="F41" t="str">
        <f t="shared" si="6"/>
        <v>400 W/m2</v>
      </c>
      <c r="G41" t="str">
        <f t="shared" si="6"/>
        <v>200 W/m2</v>
      </c>
      <c r="H41" t="str">
        <f>H36&amp;" C"</f>
        <v>70 C</v>
      </c>
      <c r="I41" t="str">
        <f>I36&amp;" C"</f>
        <v>50 C</v>
      </c>
      <c r="J41" t="str">
        <f>J36&amp;" C"</f>
        <v>25 C</v>
      </c>
      <c r="K41" t="str">
        <f>K36&amp;" C"</f>
        <v>0 C</v>
      </c>
      <c r="L41" t="str">
        <f>TEXT(L35*1000,"#000")&amp;" W/m2"</f>
        <v>1000 W/m2</v>
      </c>
    </row>
    <row r="42" spans="1:278" x14ac:dyDescent="0.3">
      <c r="B42" t="s">
        <v>42</v>
      </c>
      <c r="C42" s="7">
        <f>MAX(C251:C351)</f>
        <v>1306.4235804901296</v>
      </c>
      <c r="D42" s="7">
        <f t="shared" ref="D42:K42" si="7">MAX(D251:D351)</f>
        <v>1057.9692706954906</v>
      </c>
      <c r="E42" s="7">
        <f t="shared" si="7"/>
        <v>800.68573420258247</v>
      </c>
      <c r="F42" s="7">
        <f t="shared" si="7"/>
        <v>535.65927575801049</v>
      </c>
      <c r="G42" s="7">
        <f t="shared" si="7"/>
        <v>265.17717424213271</v>
      </c>
      <c r="H42" s="7">
        <f t="shared" si="7"/>
        <v>1060.9611072350215</v>
      </c>
      <c r="I42" s="7">
        <f t="shared" si="7"/>
        <v>1169.5097424061701</v>
      </c>
      <c r="J42" s="7">
        <f t="shared" si="7"/>
        <v>1306.4235804901296</v>
      </c>
      <c r="K42" s="7">
        <f t="shared" si="7"/>
        <v>1444.1976894685261</v>
      </c>
      <c r="L42" s="7">
        <f>MAX(L251:L351)</f>
        <v>1300.9134188889691</v>
      </c>
    </row>
    <row r="43" spans="1:278" x14ac:dyDescent="0.3">
      <c r="B43" t="s">
        <v>36</v>
      </c>
      <c r="C43" s="7">
        <f>C149</f>
        <v>127.97223314597314</v>
      </c>
      <c r="D43" s="7">
        <f t="shared" ref="D43:L43" si="8">D149</f>
        <v>126.88867094329991</v>
      </c>
      <c r="E43" s="7">
        <f t="shared" si="8"/>
        <v>125.49171630016012</v>
      </c>
      <c r="F43" s="7">
        <f t="shared" si="8"/>
        <v>123.52281931407292</v>
      </c>
      <c r="G43" s="7">
        <f t="shared" si="8"/>
        <v>120.15696768486768</v>
      </c>
      <c r="H43" s="7">
        <f t="shared" si="8"/>
        <v>110.69921568505598</v>
      </c>
      <c r="I43" s="7">
        <f t="shared" si="8"/>
        <v>118.41413959914756</v>
      </c>
      <c r="J43" s="7">
        <f t="shared" si="8"/>
        <v>127.97223314597314</v>
      </c>
      <c r="K43" s="7">
        <f t="shared" si="8"/>
        <v>137.42778247001044</v>
      </c>
      <c r="L43" s="7">
        <f t="shared" si="8"/>
        <v>127.59182106451343</v>
      </c>
    </row>
    <row r="44" spans="1:278" x14ac:dyDescent="0.3">
      <c r="B44" t="s">
        <v>7</v>
      </c>
      <c r="C44" s="7">
        <f t="shared" ref="C44:L44" si="9">C43/$E$15/C37</f>
        <v>26.353981804863274</v>
      </c>
      <c r="D44" s="7">
        <f t="shared" si="9"/>
        <v>26.13083825354996</v>
      </c>
      <c r="E44" s="7">
        <f t="shared" si="9"/>
        <v>25.843156181099673</v>
      </c>
      <c r="F44" s="7">
        <f t="shared" si="9"/>
        <v>25.437691072994497</v>
      </c>
      <c r="G44" s="7">
        <f t="shared" si="9"/>
        <v>24.744543892443517</v>
      </c>
      <c r="H44" s="7">
        <f t="shared" si="9"/>
        <v>19.807325910023046</v>
      </c>
      <c r="I44" s="7">
        <f t="shared" si="9"/>
        <v>22.499077431829193</v>
      </c>
      <c r="J44" s="7">
        <f t="shared" si="9"/>
        <v>26.353981804863274</v>
      </c>
      <c r="K44" s="7">
        <f t="shared" si="9"/>
        <v>30.891474674315603</v>
      </c>
      <c r="L44" s="7">
        <f t="shared" si="9"/>
        <v>26.187807247602272</v>
      </c>
    </row>
    <row r="45" spans="1:278" x14ac:dyDescent="0.3">
      <c r="B45" t="s">
        <v>56</v>
      </c>
      <c r="C45">
        <f>(C44-LN(C44+0.72))/(1+C44)</f>
        <v>0.84285384057149981</v>
      </c>
      <c r="D45">
        <f t="shared" ref="D45:L45" si="10">(D44-LN(D44+0.72))/(1+D44)</f>
        <v>0.84186640308551164</v>
      </c>
      <c r="E45">
        <f t="shared" si="10"/>
        <v>0.84057295197346449</v>
      </c>
      <c r="F45">
        <f t="shared" si="10"/>
        <v>0.83870969483739277</v>
      </c>
      <c r="G45">
        <f t="shared" si="10"/>
        <v>0.83541028861400402</v>
      </c>
      <c r="H45">
        <f t="shared" si="10"/>
        <v>0.80671437612219821</v>
      </c>
      <c r="I45">
        <f t="shared" si="10"/>
        <v>0.82361119257183801</v>
      </c>
      <c r="J45">
        <f t="shared" si="10"/>
        <v>0.84285384057149981</v>
      </c>
      <c r="K45">
        <f t="shared" si="10"/>
        <v>0.86035389636994553</v>
      </c>
      <c r="L45">
        <f t="shared" si="10"/>
        <v>0.84211979886204369</v>
      </c>
    </row>
    <row r="46" spans="1:278" s="8" customFormat="1" x14ac:dyDescent="0.3">
      <c r="B46" s="8" t="s">
        <v>57</v>
      </c>
      <c r="C46" s="8">
        <f>C35*$C$3*IF('[1]1.Dashboard'!$I$2=shingling,Isccell,Isc_cell_BC)</f>
        <v>1.9305457142857143</v>
      </c>
      <c r="D46" s="8">
        <f>D35*$C$3*IF('[1]1.Dashboard'!$I$2=shingling,Isccell,Isc_cell_BC)</f>
        <v>1.5444365714285715</v>
      </c>
      <c r="E46" s="8">
        <f>E35*$C$3*IF('[1]1.Dashboard'!$I$2=shingling,Isccell,Isc_cell_BC)</f>
        <v>1.1583274285714285</v>
      </c>
      <c r="F46" s="8">
        <f>F35*$C$3*IF('[1]1.Dashboard'!$I$2=shingling,Isccell,Isc_cell_BC)</f>
        <v>0.77221828571428575</v>
      </c>
      <c r="G46" s="8">
        <f>G35*$C$3*IF('[1]1.Dashboard'!$I$2=shingling,Isccell,Isc_cell_BC)</f>
        <v>0.38610914285714287</v>
      </c>
      <c r="H46" s="8">
        <f>H35*$C$3*IF('[1]1.Dashboard'!$I$2=shingling,Isccell,Isc_cell_BC)</f>
        <v>1.9305457142857143</v>
      </c>
      <c r="I46" s="8">
        <f>I35*$C$3*IF('[1]1.Dashboard'!$I$2=shingling,Isccell,Isc_cell_BC)</f>
        <v>1.9305457142857143</v>
      </c>
      <c r="J46" s="8">
        <f>J35*$C$3*IF('[1]1.Dashboard'!$I$2=shingling,Isccell,Isc_cell_BC)</f>
        <v>1.9305457142857143</v>
      </c>
      <c r="K46" s="8">
        <f>K35*$C$3*IF('[1]1.Dashboard'!$I$2=shingling,Isccell,Isc_cell_BC)</f>
        <v>1.9305457142857143</v>
      </c>
      <c r="L46" s="8">
        <f>L35*$C$3*IF('[1]1.Dashboard'!$I$2=shingling,Isccell,Isc_cell_BC)</f>
        <v>1.9305457142857143</v>
      </c>
    </row>
    <row r="47" spans="1:278" x14ac:dyDescent="0.3">
      <c r="B47">
        <v>0</v>
      </c>
      <c r="C47" s="7">
        <f t="shared" ref="C47:L62" si="11">$B47/100*C$35*$E$21</f>
        <v>0</v>
      </c>
      <c r="D47" s="7">
        <f t="shared" si="11"/>
        <v>0</v>
      </c>
      <c r="E47" s="7">
        <f t="shared" si="11"/>
        <v>0</v>
      </c>
      <c r="F47" s="7">
        <f t="shared" si="11"/>
        <v>0</v>
      </c>
      <c r="G47" s="7">
        <f t="shared" si="11"/>
        <v>0</v>
      </c>
      <c r="H47" s="7">
        <f t="shared" si="11"/>
        <v>0</v>
      </c>
      <c r="I47" s="7">
        <f t="shared" si="11"/>
        <v>0</v>
      </c>
      <c r="J47" s="7">
        <f t="shared" si="11"/>
        <v>0</v>
      </c>
      <c r="K47" s="7">
        <f t="shared" si="11"/>
        <v>0</v>
      </c>
      <c r="L47" s="7">
        <f t="shared" si="11"/>
        <v>0</v>
      </c>
      <c r="M47" s="7"/>
    </row>
    <row r="48" spans="1:278" x14ac:dyDescent="0.3">
      <c r="A48" t="s">
        <v>58</v>
      </c>
      <c r="B48">
        <v>1</v>
      </c>
      <c r="C48" s="7">
        <f t="shared" si="11"/>
        <v>0.13513820000000001</v>
      </c>
      <c r="D48" s="7">
        <f t="shared" si="11"/>
        <v>0.10811056000000001</v>
      </c>
      <c r="E48" s="7">
        <f t="shared" si="11"/>
        <v>8.1082920000000003E-2</v>
      </c>
      <c r="F48" s="7">
        <f t="shared" si="11"/>
        <v>5.4055280000000004E-2</v>
      </c>
      <c r="G48" s="7">
        <f t="shared" si="11"/>
        <v>2.7027640000000002E-2</v>
      </c>
      <c r="H48" s="7">
        <f t="shared" si="11"/>
        <v>0.13513820000000001</v>
      </c>
      <c r="I48" s="7">
        <f t="shared" si="11"/>
        <v>0.13513820000000001</v>
      </c>
      <c r="J48" s="7">
        <f t="shared" si="11"/>
        <v>0.13513820000000001</v>
      </c>
      <c r="K48" s="7">
        <f t="shared" si="11"/>
        <v>0.13513820000000001</v>
      </c>
      <c r="L48" s="7">
        <f t="shared" si="11"/>
        <v>0.13513820000000001</v>
      </c>
    </row>
    <row r="49" spans="2:12" x14ac:dyDescent="0.3">
      <c r="B49">
        <v>2</v>
      </c>
      <c r="C49" s="7">
        <f t="shared" si="11"/>
        <v>0.27027640000000003</v>
      </c>
      <c r="D49" s="7">
        <f t="shared" si="11"/>
        <v>0.21622112000000002</v>
      </c>
      <c r="E49" s="7">
        <f t="shared" si="11"/>
        <v>0.16216584000000001</v>
      </c>
      <c r="F49" s="7">
        <f t="shared" si="11"/>
        <v>0.10811056000000001</v>
      </c>
      <c r="G49" s="7">
        <f t="shared" si="11"/>
        <v>5.4055280000000004E-2</v>
      </c>
      <c r="H49" s="7">
        <f t="shared" si="11"/>
        <v>0.27027640000000003</v>
      </c>
      <c r="I49" s="7">
        <f t="shared" si="11"/>
        <v>0.27027640000000003</v>
      </c>
      <c r="J49" s="7">
        <f t="shared" si="11"/>
        <v>0.27027640000000003</v>
      </c>
      <c r="K49" s="7">
        <f t="shared" si="11"/>
        <v>0.27027640000000003</v>
      </c>
      <c r="L49" s="7">
        <f t="shared" si="11"/>
        <v>0.27027640000000003</v>
      </c>
    </row>
    <row r="50" spans="2:12" x14ac:dyDescent="0.3">
      <c r="B50">
        <v>3</v>
      </c>
      <c r="C50" s="7">
        <f t="shared" si="11"/>
        <v>0.40541460000000001</v>
      </c>
      <c r="D50" s="7">
        <f t="shared" si="11"/>
        <v>0.32433168000000001</v>
      </c>
      <c r="E50" s="7">
        <f t="shared" si="11"/>
        <v>0.24324876000000001</v>
      </c>
      <c r="F50" s="7">
        <f t="shared" si="11"/>
        <v>0.16216584000000001</v>
      </c>
      <c r="G50" s="7">
        <f t="shared" si="11"/>
        <v>8.1082920000000003E-2</v>
      </c>
      <c r="H50" s="7">
        <f t="shared" si="11"/>
        <v>0.40541460000000001</v>
      </c>
      <c r="I50" s="7">
        <f t="shared" si="11"/>
        <v>0.40541460000000001</v>
      </c>
      <c r="J50" s="7">
        <f t="shared" si="11"/>
        <v>0.40541460000000001</v>
      </c>
      <c r="K50" s="7">
        <f t="shared" si="11"/>
        <v>0.40541460000000001</v>
      </c>
      <c r="L50" s="7">
        <f t="shared" si="11"/>
        <v>0.40541460000000001</v>
      </c>
    </row>
    <row r="51" spans="2:12" x14ac:dyDescent="0.3">
      <c r="B51">
        <v>4</v>
      </c>
      <c r="C51" s="7">
        <f t="shared" si="11"/>
        <v>0.54055280000000006</v>
      </c>
      <c r="D51" s="7">
        <f t="shared" si="11"/>
        <v>0.43244224000000003</v>
      </c>
      <c r="E51" s="7">
        <f t="shared" si="11"/>
        <v>0.32433168000000001</v>
      </c>
      <c r="F51" s="7">
        <f t="shared" si="11"/>
        <v>0.21622112000000002</v>
      </c>
      <c r="G51" s="7">
        <f t="shared" si="11"/>
        <v>0.10811056000000001</v>
      </c>
      <c r="H51" s="7">
        <f t="shared" si="11"/>
        <v>0.54055280000000006</v>
      </c>
      <c r="I51" s="7">
        <f t="shared" si="11"/>
        <v>0.54055280000000006</v>
      </c>
      <c r="J51" s="7">
        <f t="shared" si="11"/>
        <v>0.54055280000000006</v>
      </c>
      <c r="K51" s="7">
        <f t="shared" si="11"/>
        <v>0.54055280000000006</v>
      </c>
      <c r="L51" s="7">
        <f t="shared" si="11"/>
        <v>0.54055280000000006</v>
      </c>
    </row>
    <row r="52" spans="2:12" x14ac:dyDescent="0.3">
      <c r="B52">
        <v>5</v>
      </c>
      <c r="C52" s="7">
        <f t="shared" si="11"/>
        <v>0.67569100000000004</v>
      </c>
      <c r="D52" s="7">
        <f t="shared" si="11"/>
        <v>0.54055280000000017</v>
      </c>
      <c r="E52" s="7">
        <f t="shared" si="11"/>
        <v>0.40541460000000001</v>
      </c>
      <c r="F52" s="7">
        <f t="shared" si="11"/>
        <v>0.27027640000000008</v>
      </c>
      <c r="G52" s="7">
        <f t="shared" si="11"/>
        <v>0.13513820000000004</v>
      </c>
      <c r="H52" s="7">
        <f t="shared" si="11"/>
        <v>0.67569100000000004</v>
      </c>
      <c r="I52" s="7">
        <f t="shared" si="11"/>
        <v>0.67569100000000004</v>
      </c>
      <c r="J52" s="7">
        <f t="shared" si="11"/>
        <v>0.67569100000000004</v>
      </c>
      <c r="K52" s="7">
        <f t="shared" si="11"/>
        <v>0.67569100000000004</v>
      </c>
      <c r="L52" s="7">
        <f t="shared" si="11"/>
        <v>0.67569100000000004</v>
      </c>
    </row>
    <row r="53" spans="2:12" x14ac:dyDescent="0.3">
      <c r="B53">
        <v>6</v>
      </c>
      <c r="C53" s="7">
        <f t="shared" si="11"/>
        <v>0.81082920000000003</v>
      </c>
      <c r="D53" s="7">
        <f t="shared" si="11"/>
        <v>0.64866336000000002</v>
      </c>
      <c r="E53" s="7">
        <f t="shared" si="11"/>
        <v>0.48649752000000002</v>
      </c>
      <c r="F53" s="7">
        <f t="shared" si="11"/>
        <v>0.32433168000000001</v>
      </c>
      <c r="G53" s="7">
        <f t="shared" si="11"/>
        <v>0.16216584000000001</v>
      </c>
      <c r="H53" s="7">
        <f t="shared" si="11"/>
        <v>0.81082920000000003</v>
      </c>
      <c r="I53" s="7">
        <f t="shared" si="11"/>
        <v>0.81082920000000003</v>
      </c>
      <c r="J53" s="7">
        <f t="shared" si="11"/>
        <v>0.81082920000000003</v>
      </c>
      <c r="K53" s="7">
        <f t="shared" si="11"/>
        <v>0.81082920000000003</v>
      </c>
      <c r="L53" s="7">
        <f t="shared" si="11"/>
        <v>0.81082920000000003</v>
      </c>
    </row>
    <row r="54" spans="2:12" x14ac:dyDescent="0.3">
      <c r="B54">
        <v>7</v>
      </c>
      <c r="C54" s="7">
        <f t="shared" si="11"/>
        <v>0.94596740000000012</v>
      </c>
      <c r="D54" s="7">
        <f t="shared" si="11"/>
        <v>0.75677392000000021</v>
      </c>
      <c r="E54" s="7">
        <f t="shared" si="11"/>
        <v>0.56758044000000007</v>
      </c>
      <c r="F54" s="7">
        <f t="shared" si="11"/>
        <v>0.37838696000000011</v>
      </c>
      <c r="G54" s="7">
        <f t="shared" si="11"/>
        <v>0.18919348000000005</v>
      </c>
      <c r="H54" s="7">
        <f t="shared" si="11"/>
        <v>0.94596740000000012</v>
      </c>
      <c r="I54" s="7">
        <f t="shared" si="11"/>
        <v>0.94596740000000012</v>
      </c>
      <c r="J54" s="7">
        <f t="shared" si="11"/>
        <v>0.94596740000000012</v>
      </c>
      <c r="K54" s="7">
        <f t="shared" si="11"/>
        <v>0.94596740000000012</v>
      </c>
      <c r="L54" s="7">
        <f t="shared" si="11"/>
        <v>0.94596740000000012</v>
      </c>
    </row>
    <row r="55" spans="2:12" x14ac:dyDescent="0.3">
      <c r="B55">
        <v>8</v>
      </c>
      <c r="C55" s="7">
        <f t="shared" si="11"/>
        <v>1.0811056000000001</v>
      </c>
      <c r="D55" s="7">
        <f t="shared" si="11"/>
        <v>0.86488448000000007</v>
      </c>
      <c r="E55" s="7">
        <f t="shared" si="11"/>
        <v>0.64866336000000002</v>
      </c>
      <c r="F55" s="7">
        <f t="shared" si="11"/>
        <v>0.43244224000000003</v>
      </c>
      <c r="G55" s="7">
        <f t="shared" si="11"/>
        <v>0.21622112000000002</v>
      </c>
      <c r="H55" s="7">
        <f t="shared" si="11"/>
        <v>1.0811056000000001</v>
      </c>
      <c r="I55" s="7">
        <f t="shared" si="11"/>
        <v>1.0811056000000001</v>
      </c>
      <c r="J55" s="7">
        <f t="shared" si="11"/>
        <v>1.0811056000000001</v>
      </c>
      <c r="K55" s="7">
        <f t="shared" si="11"/>
        <v>1.0811056000000001</v>
      </c>
      <c r="L55" s="7">
        <f t="shared" si="11"/>
        <v>1.0811056000000001</v>
      </c>
    </row>
    <row r="56" spans="2:12" x14ac:dyDescent="0.3">
      <c r="B56">
        <v>9</v>
      </c>
      <c r="C56" s="7">
        <f t="shared" si="11"/>
        <v>1.2162438</v>
      </c>
      <c r="D56" s="7">
        <f t="shared" si="11"/>
        <v>0.97299504000000003</v>
      </c>
      <c r="E56" s="7">
        <f t="shared" si="11"/>
        <v>0.72974628000000008</v>
      </c>
      <c r="F56" s="7">
        <f t="shared" si="11"/>
        <v>0.48649752000000002</v>
      </c>
      <c r="G56" s="7">
        <f t="shared" si="11"/>
        <v>0.24324876000000001</v>
      </c>
      <c r="H56" s="7">
        <f t="shared" si="11"/>
        <v>1.2162438</v>
      </c>
      <c r="I56" s="7">
        <f t="shared" si="11"/>
        <v>1.2162438</v>
      </c>
      <c r="J56" s="7">
        <f t="shared" si="11"/>
        <v>1.2162438</v>
      </c>
      <c r="K56" s="7">
        <f t="shared" si="11"/>
        <v>1.2162438</v>
      </c>
      <c r="L56" s="7">
        <f t="shared" si="11"/>
        <v>1.2162438</v>
      </c>
    </row>
    <row r="57" spans="2:12" x14ac:dyDescent="0.3">
      <c r="B57">
        <v>10</v>
      </c>
      <c r="C57" s="7">
        <f t="shared" si="11"/>
        <v>1.3513820000000001</v>
      </c>
      <c r="D57" s="7">
        <f t="shared" si="11"/>
        <v>1.0811056000000003</v>
      </c>
      <c r="E57" s="7">
        <f t="shared" si="11"/>
        <v>0.81082920000000003</v>
      </c>
      <c r="F57" s="7">
        <f t="shared" si="11"/>
        <v>0.54055280000000017</v>
      </c>
      <c r="G57" s="7">
        <f t="shared" si="11"/>
        <v>0.27027640000000008</v>
      </c>
      <c r="H57" s="7">
        <f t="shared" si="11"/>
        <v>1.3513820000000001</v>
      </c>
      <c r="I57" s="7">
        <f t="shared" si="11"/>
        <v>1.3513820000000001</v>
      </c>
      <c r="J57" s="7">
        <f t="shared" si="11"/>
        <v>1.3513820000000001</v>
      </c>
      <c r="K57" s="7">
        <f t="shared" si="11"/>
        <v>1.3513820000000001</v>
      </c>
      <c r="L57" s="7">
        <f t="shared" si="11"/>
        <v>1.3513820000000001</v>
      </c>
    </row>
    <row r="58" spans="2:12" x14ac:dyDescent="0.3">
      <c r="B58">
        <v>11</v>
      </c>
      <c r="C58" s="7">
        <f t="shared" si="11"/>
        <v>1.4865202000000002</v>
      </c>
      <c r="D58" s="7">
        <f t="shared" si="11"/>
        <v>1.1892161600000002</v>
      </c>
      <c r="E58" s="7">
        <f t="shared" si="11"/>
        <v>0.89191212000000009</v>
      </c>
      <c r="F58" s="7">
        <f t="shared" si="11"/>
        <v>0.59460808000000009</v>
      </c>
      <c r="G58" s="7">
        <f t="shared" si="11"/>
        <v>0.29730404000000005</v>
      </c>
      <c r="H58" s="7">
        <f t="shared" si="11"/>
        <v>1.4865202000000002</v>
      </c>
      <c r="I58" s="7">
        <f t="shared" si="11"/>
        <v>1.4865202000000002</v>
      </c>
      <c r="J58" s="7">
        <f t="shared" si="11"/>
        <v>1.4865202000000002</v>
      </c>
      <c r="K58" s="7">
        <f t="shared" si="11"/>
        <v>1.4865202000000002</v>
      </c>
      <c r="L58" s="7">
        <f t="shared" si="11"/>
        <v>1.4865202000000002</v>
      </c>
    </row>
    <row r="59" spans="2:12" x14ac:dyDescent="0.3">
      <c r="B59">
        <v>12</v>
      </c>
      <c r="C59" s="7">
        <f t="shared" si="11"/>
        <v>1.6216584000000001</v>
      </c>
      <c r="D59" s="7">
        <f t="shared" si="11"/>
        <v>1.29732672</v>
      </c>
      <c r="E59" s="7">
        <f t="shared" si="11"/>
        <v>0.97299504000000003</v>
      </c>
      <c r="F59" s="7">
        <f t="shared" si="11"/>
        <v>0.64866336000000002</v>
      </c>
      <c r="G59" s="7">
        <f t="shared" si="11"/>
        <v>0.32433168000000001</v>
      </c>
      <c r="H59" s="7">
        <f t="shared" si="11"/>
        <v>1.6216584000000001</v>
      </c>
      <c r="I59" s="7">
        <f t="shared" si="11"/>
        <v>1.6216584000000001</v>
      </c>
      <c r="J59" s="7">
        <f t="shared" si="11"/>
        <v>1.6216584000000001</v>
      </c>
      <c r="K59" s="7">
        <f t="shared" si="11"/>
        <v>1.6216584000000001</v>
      </c>
      <c r="L59" s="7">
        <f t="shared" si="11"/>
        <v>1.6216584000000001</v>
      </c>
    </row>
    <row r="60" spans="2:12" x14ac:dyDescent="0.3">
      <c r="B60">
        <v>13</v>
      </c>
      <c r="C60" s="7">
        <f t="shared" si="11"/>
        <v>1.7567966000000002</v>
      </c>
      <c r="D60" s="7">
        <f t="shared" si="11"/>
        <v>1.4054372800000001</v>
      </c>
      <c r="E60" s="7">
        <f t="shared" si="11"/>
        <v>1.0540779600000001</v>
      </c>
      <c r="F60" s="7">
        <f t="shared" si="11"/>
        <v>0.70271864000000006</v>
      </c>
      <c r="G60" s="7">
        <f t="shared" si="11"/>
        <v>0.35135932000000003</v>
      </c>
      <c r="H60" s="7">
        <f t="shared" si="11"/>
        <v>1.7567966000000002</v>
      </c>
      <c r="I60" s="7">
        <f t="shared" si="11"/>
        <v>1.7567966000000002</v>
      </c>
      <c r="J60" s="7">
        <f t="shared" si="11"/>
        <v>1.7567966000000002</v>
      </c>
      <c r="K60" s="7">
        <f t="shared" si="11"/>
        <v>1.7567966000000002</v>
      </c>
      <c r="L60" s="7">
        <f t="shared" si="11"/>
        <v>1.7567966000000002</v>
      </c>
    </row>
    <row r="61" spans="2:12" x14ac:dyDescent="0.3">
      <c r="B61">
        <v>14</v>
      </c>
      <c r="C61" s="7">
        <f t="shared" si="11"/>
        <v>1.8919348000000002</v>
      </c>
      <c r="D61" s="7">
        <f t="shared" si="11"/>
        <v>1.5135478400000004</v>
      </c>
      <c r="E61" s="7">
        <f t="shared" si="11"/>
        <v>1.1351608800000001</v>
      </c>
      <c r="F61" s="7">
        <f t="shared" si="11"/>
        <v>0.75677392000000021</v>
      </c>
      <c r="G61" s="7">
        <f t="shared" si="11"/>
        <v>0.37838696000000011</v>
      </c>
      <c r="H61" s="7">
        <f t="shared" si="11"/>
        <v>1.8919348000000002</v>
      </c>
      <c r="I61" s="7">
        <f t="shared" si="11"/>
        <v>1.8919348000000002</v>
      </c>
      <c r="J61" s="7">
        <f t="shared" si="11"/>
        <v>1.8919348000000002</v>
      </c>
      <c r="K61" s="7">
        <f t="shared" si="11"/>
        <v>1.8919348000000002</v>
      </c>
      <c r="L61" s="7">
        <f t="shared" si="11"/>
        <v>1.8919348000000002</v>
      </c>
    </row>
    <row r="62" spans="2:12" x14ac:dyDescent="0.3">
      <c r="B62">
        <v>15</v>
      </c>
      <c r="C62" s="7">
        <f t="shared" si="11"/>
        <v>2.0270730000000001</v>
      </c>
      <c r="D62" s="7">
        <f t="shared" si="11"/>
        <v>1.6216584000000001</v>
      </c>
      <c r="E62" s="7">
        <f t="shared" si="11"/>
        <v>1.2162438</v>
      </c>
      <c r="F62" s="7">
        <f t="shared" si="11"/>
        <v>0.81082920000000003</v>
      </c>
      <c r="G62" s="7">
        <f t="shared" si="11"/>
        <v>0.40541460000000001</v>
      </c>
      <c r="H62" s="7">
        <f t="shared" si="11"/>
        <v>2.0270730000000001</v>
      </c>
      <c r="I62" s="7">
        <f t="shared" si="11"/>
        <v>2.0270730000000001</v>
      </c>
      <c r="J62" s="7">
        <f t="shared" si="11"/>
        <v>2.0270730000000001</v>
      </c>
      <c r="K62" s="7">
        <f t="shared" si="11"/>
        <v>2.0270730000000001</v>
      </c>
      <c r="L62" s="7">
        <f t="shared" si="11"/>
        <v>2.0270730000000001</v>
      </c>
    </row>
    <row r="63" spans="2:12" x14ac:dyDescent="0.3">
      <c r="B63">
        <v>16</v>
      </c>
      <c r="C63" s="7">
        <f t="shared" ref="C63:L78" si="12">$B63/100*C$35*$E$21</f>
        <v>2.1622112000000002</v>
      </c>
      <c r="D63" s="7">
        <f t="shared" si="12"/>
        <v>1.7297689600000001</v>
      </c>
      <c r="E63" s="7">
        <f t="shared" si="12"/>
        <v>1.29732672</v>
      </c>
      <c r="F63" s="7">
        <f t="shared" si="12"/>
        <v>0.86488448000000007</v>
      </c>
      <c r="G63" s="7">
        <f t="shared" si="12"/>
        <v>0.43244224000000003</v>
      </c>
      <c r="H63" s="7">
        <f t="shared" si="12"/>
        <v>2.1622112000000002</v>
      </c>
      <c r="I63" s="7">
        <f t="shared" si="12"/>
        <v>2.1622112000000002</v>
      </c>
      <c r="J63" s="7">
        <f t="shared" si="12"/>
        <v>2.1622112000000002</v>
      </c>
      <c r="K63" s="7">
        <f t="shared" si="12"/>
        <v>2.1622112000000002</v>
      </c>
      <c r="L63" s="7">
        <f t="shared" si="12"/>
        <v>2.1622112000000002</v>
      </c>
    </row>
    <row r="64" spans="2:12" x14ac:dyDescent="0.3">
      <c r="B64">
        <v>17</v>
      </c>
      <c r="C64" s="7">
        <f t="shared" si="12"/>
        <v>2.2973494000000003</v>
      </c>
      <c r="D64" s="7">
        <f t="shared" si="12"/>
        <v>1.8378795200000002</v>
      </c>
      <c r="E64" s="7">
        <f t="shared" si="12"/>
        <v>1.3784096400000001</v>
      </c>
      <c r="F64" s="7">
        <f t="shared" si="12"/>
        <v>0.91893976000000011</v>
      </c>
      <c r="G64" s="7">
        <f t="shared" si="12"/>
        <v>0.45946988000000005</v>
      </c>
      <c r="H64" s="7">
        <f t="shared" si="12"/>
        <v>2.2973494000000003</v>
      </c>
      <c r="I64" s="7">
        <f t="shared" si="12"/>
        <v>2.2973494000000003</v>
      </c>
      <c r="J64" s="7">
        <f t="shared" si="12"/>
        <v>2.2973494000000003</v>
      </c>
      <c r="K64" s="7">
        <f t="shared" si="12"/>
        <v>2.2973494000000003</v>
      </c>
      <c r="L64" s="7">
        <f t="shared" si="12"/>
        <v>2.2973494000000003</v>
      </c>
    </row>
    <row r="65" spans="2:12" x14ac:dyDescent="0.3">
      <c r="B65">
        <v>18</v>
      </c>
      <c r="C65" s="7">
        <f t="shared" si="12"/>
        <v>2.4324876</v>
      </c>
      <c r="D65" s="7">
        <f t="shared" si="12"/>
        <v>1.9459900800000001</v>
      </c>
      <c r="E65" s="7">
        <f t="shared" si="12"/>
        <v>1.4594925600000002</v>
      </c>
      <c r="F65" s="7">
        <f t="shared" si="12"/>
        <v>0.97299504000000003</v>
      </c>
      <c r="G65" s="7">
        <f t="shared" si="12"/>
        <v>0.48649752000000002</v>
      </c>
      <c r="H65" s="7">
        <f t="shared" si="12"/>
        <v>2.4324876</v>
      </c>
      <c r="I65" s="7">
        <f t="shared" si="12"/>
        <v>2.4324876</v>
      </c>
      <c r="J65" s="7">
        <f t="shared" si="12"/>
        <v>2.4324876</v>
      </c>
      <c r="K65" s="7">
        <f t="shared" si="12"/>
        <v>2.4324876</v>
      </c>
      <c r="L65" s="7">
        <f t="shared" si="12"/>
        <v>2.4324876</v>
      </c>
    </row>
    <row r="66" spans="2:12" x14ac:dyDescent="0.3">
      <c r="B66">
        <v>19</v>
      </c>
      <c r="C66" s="7">
        <f t="shared" si="12"/>
        <v>2.5676258000000001</v>
      </c>
      <c r="D66" s="7">
        <f t="shared" si="12"/>
        <v>2.0541006400000006</v>
      </c>
      <c r="E66" s="7">
        <f t="shared" si="12"/>
        <v>1.54057548</v>
      </c>
      <c r="F66" s="7">
        <f t="shared" si="12"/>
        <v>1.0270503200000003</v>
      </c>
      <c r="G66" s="7">
        <f t="shared" si="12"/>
        <v>0.51352516000000015</v>
      </c>
      <c r="H66" s="7">
        <f t="shared" si="12"/>
        <v>2.5676258000000001</v>
      </c>
      <c r="I66" s="7">
        <f t="shared" si="12"/>
        <v>2.5676258000000001</v>
      </c>
      <c r="J66" s="7">
        <f t="shared" si="12"/>
        <v>2.5676258000000001</v>
      </c>
      <c r="K66" s="7">
        <f t="shared" si="12"/>
        <v>2.5676258000000001</v>
      </c>
      <c r="L66" s="7">
        <f t="shared" si="12"/>
        <v>2.5676258000000001</v>
      </c>
    </row>
    <row r="67" spans="2:12" x14ac:dyDescent="0.3">
      <c r="B67">
        <v>20</v>
      </c>
      <c r="C67" s="7">
        <f t="shared" si="12"/>
        <v>2.7027640000000002</v>
      </c>
      <c r="D67" s="7">
        <f t="shared" si="12"/>
        <v>2.1622112000000007</v>
      </c>
      <c r="E67" s="7">
        <f t="shared" si="12"/>
        <v>1.6216584000000001</v>
      </c>
      <c r="F67" s="7">
        <f t="shared" si="12"/>
        <v>1.0811056000000003</v>
      </c>
      <c r="G67" s="7">
        <f t="shared" si="12"/>
        <v>0.54055280000000017</v>
      </c>
      <c r="H67" s="7">
        <f t="shared" si="12"/>
        <v>2.7027640000000002</v>
      </c>
      <c r="I67" s="7">
        <f t="shared" si="12"/>
        <v>2.7027640000000002</v>
      </c>
      <c r="J67" s="7">
        <f t="shared" si="12"/>
        <v>2.7027640000000002</v>
      </c>
      <c r="K67" s="7">
        <f t="shared" si="12"/>
        <v>2.7027640000000002</v>
      </c>
      <c r="L67" s="7">
        <f t="shared" si="12"/>
        <v>2.7027640000000002</v>
      </c>
    </row>
    <row r="68" spans="2:12" x14ac:dyDescent="0.3">
      <c r="B68">
        <v>21</v>
      </c>
      <c r="C68" s="7">
        <f t="shared" si="12"/>
        <v>2.8379022000000003</v>
      </c>
      <c r="D68" s="7">
        <f t="shared" si="12"/>
        <v>2.2703217600000003</v>
      </c>
      <c r="E68" s="7">
        <f t="shared" si="12"/>
        <v>1.7027413200000001</v>
      </c>
      <c r="F68" s="7">
        <f t="shared" si="12"/>
        <v>1.1351608800000001</v>
      </c>
      <c r="G68" s="7">
        <f t="shared" si="12"/>
        <v>0.56758044000000007</v>
      </c>
      <c r="H68" s="7">
        <f t="shared" si="12"/>
        <v>2.8379022000000003</v>
      </c>
      <c r="I68" s="7">
        <f t="shared" si="12"/>
        <v>2.8379022000000003</v>
      </c>
      <c r="J68" s="7">
        <f t="shared" si="12"/>
        <v>2.8379022000000003</v>
      </c>
      <c r="K68" s="7">
        <f t="shared" si="12"/>
        <v>2.8379022000000003</v>
      </c>
      <c r="L68" s="7">
        <f t="shared" si="12"/>
        <v>2.8379022000000003</v>
      </c>
    </row>
    <row r="69" spans="2:12" x14ac:dyDescent="0.3">
      <c r="B69">
        <v>22</v>
      </c>
      <c r="C69" s="7">
        <f t="shared" si="12"/>
        <v>2.9730404000000004</v>
      </c>
      <c r="D69" s="7">
        <f t="shared" si="12"/>
        <v>2.3784323200000004</v>
      </c>
      <c r="E69" s="7">
        <f t="shared" si="12"/>
        <v>1.7838242400000002</v>
      </c>
      <c r="F69" s="7">
        <f t="shared" si="12"/>
        <v>1.1892161600000002</v>
      </c>
      <c r="G69" s="7">
        <f t="shared" si="12"/>
        <v>0.59460808000000009</v>
      </c>
      <c r="H69" s="7">
        <f t="shared" si="12"/>
        <v>2.9730404000000004</v>
      </c>
      <c r="I69" s="7">
        <f t="shared" si="12"/>
        <v>2.9730404000000004</v>
      </c>
      <c r="J69" s="7">
        <f t="shared" si="12"/>
        <v>2.9730404000000004</v>
      </c>
      <c r="K69" s="7">
        <f t="shared" si="12"/>
        <v>2.9730404000000004</v>
      </c>
      <c r="L69" s="7">
        <f t="shared" si="12"/>
        <v>2.9730404000000004</v>
      </c>
    </row>
    <row r="70" spans="2:12" x14ac:dyDescent="0.3">
      <c r="B70">
        <v>23</v>
      </c>
      <c r="C70" s="7">
        <f t="shared" si="12"/>
        <v>3.1081786000000005</v>
      </c>
      <c r="D70" s="7">
        <f t="shared" si="12"/>
        <v>2.4865428800000005</v>
      </c>
      <c r="E70" s="7">
        <f t="shared" si="12"/>
        <v>1.8649071600000002</v>
      </c>
      <c r="F70" s="7">
        <f t="shared" si="12"/>
        <v>1.2432714400000002</v>
      </c>
      <c r="G70" s="7">
        <f t="shared" si="12"/>
        <v>0.62163572000000011</v>
      </c>
      <c r="H70" s="7">
        <f t="shared" si="12"/>
        <v>3.1081786000000005</v>
      </c>
      <c r="I70" s="7">
        <f t="shared" si="12"/>
        <v>3.1081786000000005</v>
      </c>
      <c r="J70" s="7">
        <f t="shared" si="12"/>
        <v>3.1081786000000005</v>
      </c>
      <c r="K70" s="7">
        <f t="shared" si="12"/>
        <v>3.1081786000000005</v>
      </c>
      <c r="L70" s="7">
        <f t="shared" si="12"/>
        <v>3.1081786000000005</v>
      </c>
    </row>
    <row r="71" spans="2:12" x14ac:dyDescent="0.3">
      <c r="B71">
        <v>24</v>
      </c>
      <c r="C71" s="7">
        <f t="shared" si="12"/>
        <v>3.2433168000000001</v>
      </c>
      <c r="D71" s="7">
        <f t="shared" si="12"/>
        <v>2.5946534400000001</v>
      </c>
      <c r="E71" s="7">
        <f t="shared" si="12"/>
        <v>1.9459900800000001</v>
      </c>
      <c r="F71" s="7">
        <f t="shared" si="12"/>
        <v>1.29732672</v>
      </c>
      <c r="G71" s="7">
        <f t="shared" si="12"/>
        <v>0.64866336000000002</v>
      </c>
      <c r="H71" s="7">
        <f t="shared" si="12"/>
        <v>3.2433168000000001</v>
      </c>
      <c r="I71" s="7">
        <f t="shared" si="12"/>
        <v>3.2433168000000001</v>
      </c>
      <c r="J71" s="7">
        <f t="shared" si="12"/>
        <v>3.2433168000000001</v>
      </c>
      <c r="K71" s="7">
        <f t="shared" si="12"/>
        <v>3.2433168000000001</v>
      </c>
      <c r="L71" s="7">
        <f t="shared" si="12"/>
        <v>3.2433168000000001</v>
      </c>
    </row>
    <row r="72" spans="2:12" x14ac:dyDescent="0.3">
      <c r="B72">
        <v>25</v>
      </c>
      <c r="C72" s="7">
        <f t="shared" si="12"/>
        <v>3.3784550000000002</v>
      </c>
      <c r="D72" s="7">
        <f t="shared" si="12"/>
        <v>2.7027640000000002</v>
      </c>
      <c r="E72" s="7">
        <f t="shared" si="12"/>
        <v>2.0270730000000001</v>
      </c>
      <c r="F72" s="7">
        <f t="shared" si="12"/>
        <v>1.3513820000000001</v>
      </c>
      <c r="G72" s="7">
        <f t="shared" si="12"/>
        <v>0.67569100000000004</v>
      </c>
      <c r="H72" s="7">
        <f t="shared" si="12"/>
        <v>3.3784550000000002</v>
      </c>
      <c r="I72" s="7">
        <f t="shared" si="12"/>
        <v>3.3784550000000002</v>
      </c>
      <c r="J72" s="7">
        <f t="shared" si="12"/>
        <v>3.3784550000000002</v>
      </c>
      <c r="K72" s="7">
        <f t="shared" si="12"/>
        <v>3.3784550000000002</v>
      </c>
      <c r="L72" s="7">
        <f t="shared" si="12"/>
        <v>3.3784550000000002</v>
      </c>
    </row>
    <row r="73" spans="2:12" x14ac:dyDescent="0.3">
      <c r="B73">
        <v>26</v>
      </c>
      <c r="C73" s="7">
        <f t="shared" si="12"/>
        <v>3.5135932000000003</v>
      </c>
      <c r="D73" s="7">
        <f t="shared" si="12"/>
        <v>2.8108745600000002</v>
      </c>
      <c r="E73" s="7">
        <f t="shared" si="12"/>
        <v>2.1081559200000002</v>
      </c>
      <c r="F73" s="7">
        <f t="shared" si="12"/>
        <v>1.4054372800000001</v>
      </c>
      <c r="G73" s="7">
        <f t="shared" si="12"/>
        <v>0.70271864000000006</v>
      </c>
      <c r="H73" s="7">
        <f t="shared" si="12"/>
        <v>3.5135932000000003</v>
      </c>
      <c r="I73" s="7">
        <f t="shared" si="12"/>
        <v>3.5135932000000003</v>
      </c>
      <c r="J73" s="7">
        <f t="shared" si="12"/>
        <v>3.5135932000000003</v>
      </c>
      <c r="K73" s="7">
        <f t="shared" si="12"/>
        <v>3.5135932000000003</v>
      </c>
      <c r="L73" s="7">
        <f t="shared" si="12"/>
        <v>3.5135932000000003</v>
      </c>
    </row>
    <row r="74" spans="2:12" x14ac:dyDescent="0.3">
      <c r="B74">
        <v>27</v>
      </c>
      <c r="C74" s="7">
        <f t="shared" si="12"/>
        <v>3.6487314000000004</v>
      </c>
      <c r="D74" s="7">
        <f t="shared" si="12"/>
        <v>2.9189851200000003</v>
      </c>
      <c r="E74" s="7">
        <f t="shared" si="12"/>
        <v>2.1892388400000002</v>
      </c>
      <c r="F74" s="7">
        <f t="shared" si="12"/>
        <v>1.4594925600000002</v>
      </c>
      <c r="G74" s="7">
        <f t="shared" si="12"/>
        <v>0.72974628000000008</v>
      </c>
      <c r="H74" s="7">
        <f t="shared" si="12"/>
        <v>3.6487314000000004</v>
      </c>
      <c r="I74" s="7">
        <f t="shared" si="12"/>
        <v>3.6487314000000004</v>
      </c>
      <c r="J74" s="7">
        <f t="shared" si="12"/>
        <v>3.6487314000000004</v>
      </c>
      <c r="K74" s="7">
        <f t="shared" si="12"/>
        <v>3.6487314000000004</v>
      </c>
      <c r="L74" s="7">
        <f t="shared" si="12"/>
        <v>3.6487314000000004</v>
      </c>
    </row>
    <row r="75" spans="2:12" x14ac:dyDescent="0.3">
      <c r="B75">
        <v>28</v>
      </c>
      <c r="C75" s="7">
        <f t="shared" si="12"/>
        <v>3.7838696000000005</v>
      </c>
      <c r="D75" s="7">
        <f t="shared" si="12"/>
        <v>3.0270956800000008</v>
      </c>
      <c r="E75" s="7">
        <f t="shared" si="12"/>
        <v>2.2703217600000003</v>
      </c>
      <c r="F75" s="7">
        <f t="shared" si="12"/>
        <v>1.5135478400000004</v>
      </c>
      <c r="G75" s="7">
        <f t="shared" si="12"/>
        <v>0.75677392000000021</v>
      </c>
      <c r="H75" s="7">
        <f t="shared" si="12"/>
        <v>3.7838696000000005</v>
      </c>
      <c r="I75" s="7">
        <f t="shared" si="12"/>
        <v>3.7838696000000005</v>
      </c>
      <c r="J75" s="7">
        <f t="shared" si="12"/>
        <v>3.7838696000000005</v>
      </c>
      <c r="K75" s="7">
        <f t="shared" si="12"/>
        <v>3.7838696000000005</v>
      </c>
      <c r="L75" s="7">
        <f t="shared" si="12"/>
        <v>3.7838696000000005</v>
      </c>
    </row>
    <row r="76" spans="2:12" x14ac:dyDescent="0.3">
      <c r="B76">
        <v>29</v>
      </c>
      <c r="C76" s="7">
        <f t="shared" si="12"/>
        <v>3.9190078000000002</v>
      </c>
      <c r="D76" s="7">
        <f t="shared" si="12"/>
        <v>3.13520624</v>
      </c>
      <c r="E76" s="7">
        <f t="shared" si="12"/>
        <v>2.3514046799999999</v>
      </c>
      <c r="F76" s="7">
        <f t="shared" si="12"/>
        <v>1.56760312</v>
      </c>
      <c r="G76" s="7">
        <f t="shared" si="12"/>
        <v>0.78380156000000001</v>
      </c>
      <c r="H76" s="7">
        <f t="shared" si="12"/>
        <v>3.9190078000000002</v>
      </c>
      <c r="I76" s="7">
        <f t="shared" si="12"/>
        <v>3.9190078000000002</v>
      </c>
      <c r="J76" s="7">
        <f t="shared" si="12"/>
        <v>3.9190078000000002</v>
      </c>
      <c r="K76" s="7">
        <f t="shared" si="12"/>
        <v>3.9190078000000002</v>
      </c>
      <c r="L76" s="7">
        <f t="shared" si="12"/>
        <v>3.9190078000000002</v>
      </c>
    </row>
    <row r="77" spans="2:12" x14ac:dyDescent="0.3">
      <c r="B77">
        <v>30</v>
      </c>
      <c r="C77" s="7">
        <f t="shared" si="12"/>
        <v>4.0541460000000002</v>
      </c>
      <c r="D77" s="7">
        <f t="shared" si="12"/>
        <v>3.2433168000000001</v>
      </c>
      <c r="E77" s="7">
        <f t="shared" si="12"/>
        <v>2.4324876</v>
      </c>
      <c r="F77" s="7">
        <f t="shared" si="12"/>
        <v>1.6216584000000001</v>
      </c>
      <c r="G77" s="7">
        <f t="shared" si="12"/>
        <v>0.81082920000000003</v>
      </c>
      <c r="H77" s="7">
        <f t="shared" si="12"/>
        <v>4.0541460000000002</v>
      </c>
      <c r="I77" s="7">
        <f t="shared" si="12"/>
        <v>4.0541460000000002</v>
      </c>
      <c r="J77" s="7">
        <f t="shared" si="12"/>
        <v>4.0541460000000002</v>
      </c>
      <c r="K77" s="7">
        <f t="shared" si="12"/>
        <v>4.0541460000000002</v>
      </c>
      <c r="L77" s="7">
        <f t="shared" si="12"/>
        <v>4.0541460000000002</v>
      </c>
    </row>
    <row r="78" spans="2:12" x14ac:dyDescent="0.3">
      <c r="B78">
        <v>31</v>
      </c>
      <c r="C78" s="7">
        <f t="shared" si="12"/>
        <v>4.1892842000000003</v>
      </c>
      <c r="D78" s="7">
        <f t="shared" si="12"/>
        <v>3.3514273600000002</v>
      </c>
      <c r="E78" s="7">
        <f t="shared" si="12"/>
        <v>2.51357052</v>
      </c>
      <c r="F78" s="7">
        <f t="shared" si="12"/>
        <v>1.6757136800000001</v>
      </c>
      <c r="G78" s="7">
        <f t="shared" si="12"/>
        <v>0.83785684000000005</v>
      </c>
      <c r="H78" s="7">
        <f t="shared" si="12"/>
        <v>4.1892842000000003</v>
      </c>
      <c r="I78" s="7">
        <f t="shared" si="12"/>
        <v>4.1892842000000003</v>
      </c>
      <c r="J78" s="7">
        <f t="shared" si="12"/>
        <v>4.1892842000000003</v>
      </c>
      <c r="K78" s="7">
        <f t="shared" si="12"/>
        <v>4.1892842000000003</v>
      </c>
      <c r="L78" s="7">
        <f t="shared" si="12"/>
        <v>4.1892842000000003</v>
      </c>
    </row>
    <row r="79" spans="2:12" x14ac:dyDescent="0.3">
      <c r="B79">
        <v>32</v>
      </c>
      <c r="C79" s="7">
        <f t="shared" ref="C79:L94" si="13">$B79/100*C$35*$E$21</f>
        <v>4.3244224000000004</v>
      </c>
      <c r="D79" s="7">
        <f t="shared" si="13"/>
        <v>3.4595379200000003</v>
      </c>
      <c r="E79" s="7">
        <f t="shared" si="13"/>
        <v>2.5946534400000001</v>
      </c>
      <c r="F79" s="7">
        <f t="shared" si="13"/>
        <v>1.7297689600000001</v>
      </c>
      <c r="G79" s="7">
        <f t="shared" si="13"/>
        <v>0.86488448000000007</v>
      </c>
      <c r="H79" s="7">
        <f t="shared" si="13"/>
        <v>4.3244224000000004</v>
      </c>
      <c r="I79" s="7">
        <f t="shared" si="13"/>
        <v>4.3244224000000004</v>
      </c>
      <c r="J79" s="7">
        <f t="shared" si="13"/>
        <v>4.3244224000000004</v>
      </c>
      <c r="K79" s="7">
        <f t="shared" si="13"/>
        <v>4.3244224000000004</v>
      </c>
      <c r="L79" s="7">
        <f t="shared" si="13"/>
        <v>4.3244224000000004</v>
      </c>
    </row>
    <row r="80" spans="2:12" x14ac:dyDescent="0.3">
      <c r="B80">
        <v>33</v>
      </c>
      <c r="C80" s="7">
        <f t="shared" si="13"/>
        <v>4.4595606000000005</v>
      </c>
      <c r="D80" s="7">
        <f t="shared" si="13"/>
        <v>3.5676484800000003</v>
      </c>
      <c r="E80" s="7">
        <f t="shared" si="13"/>
        <v>2.6757363600000001</v>
      </c>
      <c r="F80" s="7">
        <f t="shared" si="13"/>
        <v>1.7838242400000002</v>
      </c>
      <c r="G80" s="7">
        <f t="shared" si="13"/>
        <v>0.89191212000000009</v>
      </c>
      <c r="H80" s="7">
        <f t="shared" si="13"/>
        <v>4.4595606000000005</v>
      </c>
      <c r="I80" s="7">
        <f t="shared" si="13"/>
        <v>4.4595606000000005</v>
      </c>
      <c r="J80" s="7">
        <f t="shared" si="13"/>
        <v>4.4595606000000005</v>
      </c>
      <c r="K80" s="7">
        <f t="shared" si="13"/>
        <v>4.4595606000000005</v>
      </c>
      <c r="L80" s="7">
        <f t="shared" si="13"/>
        <v>4.4595606000000005</v>
      </c>
    </row>
    <row r="81" spans="2:12" x14ac:dyDescent="0.3">
      <c r="B81">
        <v>34</v>
      </c>
      <c r="C81" s="7">
        <f t="shared" si="13"/>
        <v>4.5946988000000006</v>
      </c>
      <c r="D81" s="7">
        <f t="shared" si="13"/>
        <v>3.6757590400000004</v>
      </c>
      <c r="E81" s="7">
        <f t="shared" si="13"/>
        <v>2.7568192800000002</v>
      </c>
      <c r="F81" s="7">
        <f t="shared" si="13"/>
        <v>1.8378795200000002</v>
      </c>
      <c r="G81" s="7">
        <f t="shared" si="13"/>
        <v>0.91893976000000011</v>
      </c>
      <c r="H81" s="7">
        <f t="shared" si="13"/>
        <v>4.5946988000000006</v>
      </c>
      <c r="I81" s="7">
        <f t="shared" si="13"/>
        <v>4.5946988000000006</v>
      </c>
      <c r="J81" s="7">
        <f t="shared" si="13"/>
        <v>4.5946988000000006</v>
      </c>
      <c r="K81" s="7">
        <f t="shared" si="13"/>
        <v>4.5946988000000006</v>
      </c>
      <c r="L81" s="7">
        <f t="shared" si="13"/>
        <v>4.5946988000000006</v>
      </c>
    </row>
    <row r="82" spans="2:12" x14ac:dyDescent="0.3">
      <c r="B82">
        <v>35</v>
      </c>
      <c r="C82" s="7">
        <f t="shared" si="13"/>
        <v>4.7298369999999998</v>
      </c>
      <c r="D82" s="7">
        <f t="shared" si="13"/>
        <v>3.7838696000000001</v>
      </c>
      <c r="E82" s="7">
        <f t="shared" si="13"/>
        <v>2.8379022000000003</v>
      </c>
      <c r="F82" s="7">
        <f t="shared" si="13"/>
        <v>1.8919348</v>
      </c>
      <c r="G82" s="7">
        <f t="shared" si="13"/>
        <v>0.94596740000000001</v>
      </c>
      <c r="H82" s="7">
        <f t="shared" si="13"/>
        <v>4.7298369999999998</v>
      </c>
      <c r="I82" s="7">
        <f t="shared" si="13"/>
        <v>4.7298369999999998</v>
      </c>
      <c r="J82" s="7">
        <f t="shared" si="13"/>
        <v>4.7298369999999998</v>
      </c>
      <c r="K82" s="7">
        <f t="shared" si="13"/>
        <v>4.7298369999999998</v>
      </c>
      <c r="L82" s="7">
        <f t="shared" si="13"/>
        <v>4.7298369999999998</v>
      </c>
    </row>
    <row r="83" spans="2:12" x14ac:dyDescent="0.3">
      <c r="B83">
        <v>36</v>
      </c>
      <c r="C83" s="7">
        <f t="shared" si="13"/>
        <v>4.8649751999999999</v>
      </c>
      <c r="D83" s="7">
        <f t="shared" si="13"/>
        <v>3.8919801600000001</v>
      </c>
      <c r="E83" s="7">
        <f t="shared" si="13"/>
        <v>2.9189851200000003</v>
      </c>
      <c r="F83" s="7">
        <f t="shared" si="13"/>
        <v>1.9459900800000001</v>
      </c>
      <c r="G83" s="7">
        <f t="shared" si="13"/>
        <v>0.97299504000000003</v>
      </c>
      <c r="H83" s="7">
        <f t="shared" si="13"/>
        <v>4.8649751999999999</v>
      </c>
      <c r="I83" s="7">
        <f t="shared" si="13"/>
        <v>4.8649751999999999</v>
      </c>
      <c r="J83" s="7">
        <f t="shared" si="13"/>
        <v>4.8649751999999999</v>
      </c>
      <c r="K83" s="7">
        <f t="shared" si="13"/>
        <v>4.8649751999999999</v>
      </c>
      <c r="L83" s="7">
        <f t="shared" si="13"/>
        <v>4.8649751999999999</v>
      </c>
    </row>
    <row r="84" spans="2:12" x14ac:dyDescent="0.3">
      <c r="B84">
        <v>37</v>
      </c>
      <c r="C84" s="7">
        <f t="shared" si="13"/>
        <v>5.0001134</v>
      </c>
      <c r="D84" s="7">
        <f t="shared" si="13"/>
        <v>4.0000907200000002</v>
      </c>
      <c r="E84" s="7">
        <f t="shared" si="13"/>
        <v>3.0000680400000004</v>
      </c>
      <c r="F84" s="7">
        <f t="shared" si="13"/>
        <v>2.0000453600000001</v>
      </c>
      <c r="G84" s="7">
        <f t="shared" si="13"/>
        <v>1.0000226800000001</v>
      </c>
      <c r="H84" s="7">
        <f t="shared" si="13"/>
        <v>5.0001134</v>
      </c>
      <c r="I84" s="7">
        <f t="shared" si="13"/>
        <v>5.0001134</v>
      </c>
      <c r="J84" s="7">
        <f t="shared" si="13"/>
        <v>5.0001134</v>
      </c>
      <c r="K84" s="7">
        <f t="shared" si="13"/>
        <v>5.0001134</v>
      </c>
      <c r="L84" s="7">
        <f t="shared" si="13"/>
        <v>5.0001134</v>
      </c>
    </row>
    <row r="85" spans="2:12" x14ac:dyDescent="0.3">
      <c r="B85">
        <v>38</v>
      </c>
      <c r="C85" s="7">
        <f t="shared" si="13"/>
        <v>5.1352516000000001</v>
      </c>
      <c r="D85" s="7">
        <f t="shared" si="13"/>
        <v>4.1082012800000012</v>
      </c>
      <c r="E85" s="7">
        <f t="shared" si="13"/>
        <v>3.08115096</v>
      </c>
      <c r="F85" s="7">
        <f t="shared" si="13"/>
        <v>2.0541006400000006</v>
      </c>
      <c r="G85" s="7">
        <f t="shared" si="13"/>
        <v>1.0270503200000003</v>
      </c>
      <c r="H85" s="7">
        <f t="shared" si="13"/>
        <v>5.1352516000000001</v>
      </c>
      <c r="I85" s="7">
        <f t="shared" si="13"/>
        <v>5.1352516000000001</v>
      </c>
      <c r="J85" s="7">
        <f t="shared" si="13"/>
        <v>5.1352516000000001</v>
      </c>
      <c r="K85" s="7">
        <f t="shared" si="13"/>
        <v>5.1352516000000001</v>
      </c>
      <c r="L85" s="7">
        <f t="shared" si="13"/>
        <v>5.1352516000000001</v>
      </c>
    </row>
    <row r="86" spans="2:12" x14ac:dyDescent="0.3">
      <c r="B86">
        <v>39</v>
      </c>
      <c r="C86" s="7">
        <f t="shared" si="13"/>
        <v>5.2703898000000002</v>
      </c>
      <c r="D86" s="7">
        <f t="shared" si="13"/>
        <v>4.2163118400000013</v>
      </c>
      <c r="E86" s="7">
        <f t="shared" si="13"/>
        <v>3.1622338800000001</v>
      </c>
      <c r="F86" s="7">
        <f t="shared" si="13"/>
        <v>2.1081559200000006</v>
      </c>
      <c r="G86" s="7">
        <f t="shared" si="13"/>
        <v>1.0540779600000003</v>
      </c>
      <c r="H86" s="7">
        <f t="shared" si="13"/>
        <v>5.2703898000000002</v>
      </c>
      <c r="I86" s="7">
        <f t="shared" si="13"/>
        <v>5.2703898000000002</v>
      </c>
      <c r="J86" s="7">
        <f t="shared" si="13"/>
        <v>5.2703898000000002</v>
      </c>
      <c r="K86" s="7">
        <f t="shared" si="13"/>
        <v>5.2703898000000002</v>
      </c>
      <c r="L86" s="7">
        <f t="shared" si="13"/>
        <v>5.2703898000000002</v>
      </c>
    </row>
    <row r="87" spans="2:12" x14ac:dyDescent="0.3">
      <c r="B87">
        <v>40</v>
      </c>
      <c r="C87" s="7">
        <f t="shared" si="13"/>
        <v>5.4055280000000003</v>
      </c>
      <c r="D87" s="7">
        <f t="shared" si="13"/>
        <v>4.3244224000000013</v>
      </c>
      <c r="E87" s="7">
        <f t="shared" si="13"/>
        <v>3.2433168000000001</v>
      </c>
      <c r="F87" s="7">
        <f t="shared" si="13"/>
        <v>2.1622112000000007</v>
      </c>
      <c r="G87" s="7">
        <f t="shared" si="13"/>
        <v>1.0811056000000003</v>
      </c>
      <c r="H87" s="7">
        <f t="shared" si="13"/>
        <v>5.4055280000000003</v>
      </c>
      <c r="I87" s="7">
        <f t="shared" si="13"/>
        <v>5.4055280000000003</v>
      </c>
      <c r="J87" s="7">
        <f t="shared" si="13"/>
        <v>5.4055280000000003</v>
      </c>
      <c r="K87" s="7">
        <f t="shared" si="13"/>
        <v>5.4055280000000003</v>
      </c>
      <c r="L87" s="7">
        <f t="shared" si="13"/>
        <v>5.4055280000000003</v>
      </c>
    </row>
    <row r="88" spans="2:12" x14ac:dyDescent="0.3">
      <c r="B88">
        <v>41</v>
      </c>
      <c r="C88" s="7">
        <f t="shared" si="13"/>
        <v>5.5406662000000004</v>
      </c>
      <c r="D88" s="7">
        <f t="shared" si="13"/>
        <v>4.4325329600000005</v>
      </c>
      <c r="E88" s="7">
        <f t="shared" si="13"/>
        <v>3.3243997199999997</v>
      </c>
      <c r="F88" s="7">
        <f t="shared" si="13"/>
        <v>2.2162664800000003</v>
      </c>
      <c r="G88" s="7">
        <f t="shared" si="13"/>
        <v>1.1081332400000001</v>
      </c>
      <c r="H88" s="7">
        <f t="shared" si="13"/>
        <v>5.5406662000000004</v>
      </c>
      <c r="I88" s="7">
        <f t="shared" si="13"/>
        <v>5.5406662000000004</v>
      </c>
      <c r="J88" s="7">
        <f t="shared" si="13"/>
        <v>5.5406662000000004</v>
      </c>
      <c r="K88" s="7">
        <f t="shared" si="13"/>
        <v>5.5406662000000004</v>
      </c>
      <c r="L88" s="7">
        <f t="shared" si="13"/>
        <v>5.5406662000000004</v>
      </c>
    </row>
    <row r="89" spans="2:12" x14ac:dyDescent="0.3">
      <c r="B89">
        <v>42</v>
      </c>
      <c r="C89" s="7">
        <f t="shared" si="13"/>
        <v>5.6758044000000005</v>
      </c>
      <c r="D89" s="7">
        <f t="shared" si="13"/>
        <v>4.5406435200000006</v>
      </c>
      <c r="E89" s="7">
        <f t="shared" si="13"/>
        <v>3.4054826400000002</v>
      </c>
      <c r="F89" s="7">
        <f t="shared" si="13"/>
        <v>2.2703217600000003</v>
      </c>
      <c r="G89" s="7">
        <f t="shared" si="13"/>
        <v>1.1351608800000001</v>
      </c>
      <c r="H89" s="7">
        <f t="shared" si="13"/>
        <v>5.6758044000000005</v>
      </c>
      <c r="I89" s="7">
        <f t="shared" si="13"/>
        <v>5.6758044000000005</v>
      </c>
      <c r="J89" s="7">
        <f t="shared" si="13"/>
        <v>5.6758044000000005</v>
      </c>
      <c r="K89" s="7">
        <f t="shared" si="13"/>
        <v>5.6758044000000005</v>
      </c>
      <c r="L89" s="7">
        <f t="shared" si="13"/>
        <v>5.6758044000000005</v>
      </c>
    </row>
    <row r="90" spans="2:12" x14ac:dyDescent="0.3">
      <c r="B90">
        <v>43</v>
      </c>
      <c r="C90" s="7">
        <f t="shared" si="13"/>
        <v>5.8109426000000006</v>
      </c>
      <c r="D90" s="7">
        <f t="shared" si="13"/>
        <v>4.6487540800000007</v>
      </c>
      <c r="E90" s="7">
        <f t="shared" si="13"/>
        <v>3.4865655600000003</v>
      </c>
      <c r="F90" s="7">
        <f t="shared" si="13"/>
        <v>2.3243770400000003</v>
      </c>
      <c r="G90" s="7">
        <f t="shared" si="13"/>
        <v>1.1621885200000002</v>
      </c>
      <c r="H90" s="7">
        <f t="shared" si="13"/>
        <v>5.8109426000000006</v>
      </c>
      <c r="I90" s="7">
        <f t="shared" si="13"/>
        <v>5.8109426000000006</v>
      </c>
      <c r="J90" s="7">
        <f t="shared" si="13"/>
        <v>5.8109426000000006</v>
      </c>
      <c r="K90" s="7">
        <f t="shared" si="13"/>
        <v>5.8109426000000006</v>
      </c>
      <c r="L90" s="7">
        <f t="shared" si="13"/>
        <v>5.8109426000000006</v>
      </c>
    </row>
    <row r="91" spans="2:12" x14ac:dyDescent="0.3">
      <c r="B91">
        <v>44</v>
      </c>
      <c r="C91" s="7">
        <f t="shared" si="13"/>
        <v>5.9460808000000007</v>
      </c>
      <c r="D91" s="7">
        <f t="shared" si="13"/>
        <v>4.7568646400000008</v>
      </c>
      <c r="E91" s="7">
        <f t="shared" si="13"/>
        <v>3.5676484800000003</v>
      </c>
      <c r="F91" s="7">
        <f t="shared" si="13"/>
        <v>2.3784323200000004</v>
      </c>
      <c r="G91" s="7">
        <f t="shared" si="13"/>
        <v>1.1892161600000002</v>
      </c>
      <c r="H91" s="7">
        <f t="shared" si="13"/>
        <v>5.9460808000000007</v>
      </c>
      <c r="I91" s="7">
        <f t="shared" si="13"/>
        <v>5.9460808000000007</v>
      </c>
      <c r="J91" s="7">
        <f t="shared" si="13"/>
        <v>5.9460808000000007</v>
      </c>
      <c r="K91" s="7">
        <f t="shared" si="13"/>
        <v>5.9460808000000007</v>
      </c>
      <c r="L91" s="7">
        <f t="shared" si="13"/>
        <v>5.9460808000000007</v>
      </c>
    </row>
    <row r="92" spans="2:12" x14ac:dyDescent="0.3">
      <c r="B92">
        <v>45</v>
      </c>
      <c r="C92" s="7">
        <f t="shared" si="13"/>
        <v>6.0812190000000008</v>
      </c>
      <c r="D92" s="7">
        <f t="shared" si="13"/>
        <v>4.8649752000000008</v>
      </c>
      <c r="E92" s="7">
        <f t="shared" si="13"/>
        <v>3.6487314000000004</v>
      </c>
      <c r="F92" s="7">
        <f t="shared" si="13"/>
        <v>2.4324876000000004</v>
      </c>
      <c r="G92" s="7">
        <f t="shared" si="13"/>
        <v>1.2162438000000002</v>
      </c>
      <c r="H92" s="7">
        <f t="shared" si="13"/>
        <v>6.0812190000000008</v>
      </c>
      <c r="I92" s="7">
        <f t="shared" si="13"/>
        <v>6.0812190000000008</v>
      </c>
      <c r="J92" s="7">
        <f t="shared" si="13"/>
        <v>6.0812190000000008</v>
      </c>
      <c r="K92" s="7">
        <f t="shared" si="13"/>
        <v>6.0812190000000008</v>
      </c>
      <c r="L92" s="7">
        <f t="shared" si="13"/>
        <v>6.0812190000000008</v>
      </c>
    </row>
    <row r="93" spans="2:12" x14ac:dyDescent="0.3">
      <c r="B93">
        <v>46</v>
      </c>
      <c r="C93" s="7">
        <f t="shared" si="13"/>
        <v>6.2163572000000009</v>
      </c>
      <c r="D93" s="7">
        <f t="shared" si="13"/>
        <v>4.9730857600000009</v>
      </c>
      <c r="E93" s="7">
        <f t="shared" si="13"/>
        <v>3.7298143200000005</v>
      </c>
      <c r="F93" s="7">
        <f t="shared" si="13"/>
        <v>2.4865428800000005</v>
      </c>
      <c r="G93" s="7">
        <f t="shared" si="13"/>
        <v>1.2432714400000002</v>
      </c>
      <c r="H93" s="7">
        <f t="shared" si="13"/>
        <v>6.2163572000000009</v>
      </c>
      <c r="I93" s="7">
        <f t="shared" si="13"/>
        <v>6.2163572000000009</v>
      </c>
      <c r="J93" s="7">
        <f t="shared" si="13"/>
        <v>6.2163572000000009</v>
      </c>
      <c r="K93" s="7">
        <f t="shared" si="13"/>
        <v>6.2163572000000009</v>
      </c>
      <c r="L93" s="7">
        <f t="shared" si="13"/>
        <v>6.2163572000000009</v>
      </c>
    </row>
    <row r="94" spans="2:12" x14ac:dyDescent="0.3">
      <c r="B94">
        <v>47</v>
      </c>
      <c r="C94" s="7">
        <f t="shared" si="13"/>
        <v>6.3514954000000001</v>
      </c>
      <c r="D94" s="7">
        <f t="shared" si="13"/>
        <v>5.0811963200000001</v>
      </c>
      <c r="E94" s="7">
        <f t="shared" si="13"/>
        <v>3.8108972400000001</v>
      </c>
      <c r="F94" s="7">
        <f t="shared" si="13"/>
        <v>2.54059816</v>
      </c>
      <c r="G94" s="7">
        <f t="shared" si="13"/>
        <v>1.27029908</v>
      </c>
      <c r="H94" s="7">
        <f t="shared" si="13"/>
        <v>6.3514954000000001</v>
      </c>
      <c r="I94" s="7">
        <f t="shared" si="13"/>
        <v>6.3514954000000001</v>
      </c>
      <c r="J94" s="7">
        <f t="shared" si="13"/>
        <v>6.3514954000000001</v>
      </c>
      <c r="K94" s="7">
        <f t="shared" si="13"/>
        <v>6.3514954000000001</v>
      </c>
      <c r="L94" s="7">
        <f t="shared" si="13"/>
        <v>6.3514954000000001</v>
      </c>
    </row>
    <row r="95" spans="2:12" x14ac:dyDescent="0.3">
      <c r="B95">
        <v>48</v>
      </c>
      <c r="C95" s="7">
        <f t="shared" ref="C95:L110" si="14">$B95/100*C$35*$E$21</f>
        <v>6.4866336000000002</v>
      </c>
      <c r="D95" s="7">
        <f t="shared" si="14"/>
        <v>5.1893068800000002</v>
      </c>
      <c r="E95" s="7">
        <f t="shared" si="14"/>
        <v>3.8919801600000001</v>
      </c>
      <c r="F95" s="7">
        <f t="shared" si="14"/>
        <v>2.5946534400000001</v>
      </c>
      <c r="G95" s="7">
        <f t="shared" si="14"/>
        <v>1.29732672</v>
      </c>
      <c r="H95" s="7">
        <f t="shared" si="14"/>
        <v>6.4866336000000002</v>
      </c>
      <c r="I95" s="7">
        <f t="shared" si="14"/>
        <v>6.4866336000000002</v>
      </c>
      <c r="J95" s="7">
        <f t="shared" si="14"/>
        <v>6.4866336000000002</v>
      </c>
      <c r="K95" s="7">
        <f t="shared" si="14"/>
        <v>6.4866336000000002</v>
      </c>
      <c r="L95" s="7">
        <f t="shared" si="14"/>
        <v>6.4866336000000002</v>
      </c>
    </row>
    <row r="96" spans="2:12" x14ac:dyDescent="0.3">
      <c r="B96">
        <v>49</v>
      </c>
      <c r="C96" s="7">
        <f t="shared" si="14"/>
        <v>6.6217718000000003</v>
      </c>
      <c r="D96" s="7">
        <f t="shared" si="14"/>
        <v>5.2974174400000003</v>
      </c>
      <c r="E96" s="7">
        <f t="shared" si="14"/>
        <v>3.9730630800000002</v>
      </c>
      <c r="F96" s="7">
        <f t="shared" si="14"/>
        <v>2.6487087200000001</v>
      </c>
      <c r="G96" s="7">
        <f t="shared" si="14"/>
        <v>1.3243543600000001</v>
      </c>
      <c r="H96" s="7">
        <f t="shared" si="14"/>
        <v>6.6217718000000003</v>
      </c>
      <c r="I96" s="7">
        <f t="shared" si="14"/>
        <v>6.6217718000000003</v>
      </c>
      <c r="J96" s="7">
        <f t="shared" si="14"/>
        <v>6.6217718000000003</v>
      </c>
      <c r="K96" s="7">
        <f t="shared" si="14"/>
        <v>6.6217718000000003</v>
      </c>
      <c r="L96" s="7">
        <f t="shared" si="14"/>
        <v>6.6217718000000003</v>
      </c>
    </row>
    <row r="97" spans="2:12" x14ac:dyDescent="0.3">
      <c r="B97">
        <v>50</v>
      </c>
      <c r="C97" s="7">
        <f t="shared" si="14"/>
        <v>6.7569100000000004</v>
      </c>
      <c r="D97" s="7">
        <f t="shared" si="14"/>
        <v>5.4055280000000003</v>
      </c>
      <c r="E97" s="7">
        <f t="shared" si="14"/>
        <v>4.0541460000000002</v>
      </c>
      <c r="F97" s="7">
        <f t="shared" si="14"/>
        <v>2.7027640000000002</v>
      </c>
      <c r="G97" s="7">
        <f t="shared" si="14"/>
        <v>1.3513820000000001</v>
      </c>
      <c r="H97" s="7">
        <f t="shared" si="14"/>
        <v>6.7569100000000004</v>
      </c>
      <c r="I97" s="7">
        <f t="shared" si="14"/>
        <v>6.7569100000000004</v>
      </c>
      <c r="J97" s="7">
        <f t="shared" si="14"/>
        <v>6.7569100000000004</v>
      </c>
      <c r="K97" s="7">
        <f t="shared" si="14"/>
        <v>6.7569100000000004</v>
      </c>
      <c r="L97" s="7">
        <f t="shared" si="14"/>
        <v>6.7569100000000004</v>
      </c>
    </row>
    <row r="98" spans="2:12" x14ac:dyDescent="0.3">
      <c r="B98">
        <v>51</v>
      </c>
      <c r="C98" s="7">
        <f t="shared" si="14"/>
        <v>6.8920482000000005</v>
      </c>
      <c r="D98" s="7">
        <f t="shared" si="14"/>
        <v>5.5136385600000004</v>
      </c>
      <c r="E98" s="7">
        <f t="shared" si="14"/>
        <v>4.1352289200000003</v>
      </c>
      <c r="F98" s="7">
        <f t="shared" si="14"/>
        <v>2.7568192800000002</v>
      </c>
      <c r="G98" s="7">
        <f t="shared" si="14"/>
        <v>1.3784096400000001</v>
      </c>
      <c r="H98" s="7">
        <f t="shared" si="14"/>
        <v>6.8920482000000005</v>
      </c>
      <c r="I98" s="7">
        <f t="shared" si="14"/>
        <v>6.8920482000000005</v>
      </c>
      <c r="J98" s="7">
        <f t="shared" si="14"/>
        <v>6.8920482000000005</v>
      </c>
      <c r="K98" s="7">
        <f t="shared" si="14"/>
        <v>6.8920482000000005</v>
      </c>
      <c r="L98" s="7">
        <f t="shared" si="14"/>
        <v>6.8920482000000005</v>
      </c>
    </row>
    <row r="99" spans="2:12" x14ac:dyDescent="0.3">
      <c r="B99">
        <v>52</v>
      </c>
      <c r="C99" s="7">
        <f t="shared" si="14"/>
        <v>7.0271864000000006</v>
      </c>
      <c r="D99" s="7">
        <f t="shared" si="14"/>
        <v>5.6217491200000005</v>
      </c>
      <c r="E99" s="7">
        <f t="shared" si="14"/>
        <v>4.2163118400000004</v>
      </c>
      <c r="F99" s="7">
        <f t="shared" si="14"/>
        <v>2.8108745600000002</v>
      </c>
      <c r="G99" s="7">
        <f t="shared" si="14"/>
        <v>1.4054372800000001</v>
      </c>
      <c r="H99" s="7">
        <f t="shared" si="14"/>
        <v>7.0271864000000006</v>
      </c>
      <c r="I99" s="7">
        <f t="shared" si="14"/>
        <v>7.0271864000000006</v>
      </c>
      <c r="J99" s="7">
        <f t="shared" si="14"/>
        <v>7.0271864000000006</v>
      </c>
      <c r="K99" s="7">
        <f t="shared" si="14"/>
        <v>7.0271864000000006</v>
      </c>
      <c r="L99" s="7">
        <f t="shared" si="14"/>
        <v>7.0271864000000006</v>
      </c>
    </row>
    <row r="100" spans="2:12" x14ac:dyDescent="0.3">
      <c r="B100">
        <v>53</v>
      </c>
      <c r="C100" s="7">
        <f t="shared" si="14"/>
        <v>7.1623246000000007</v>
      </c>
      <c r="D100" s="7">
        <f t="shared" si="14"/>
        <v>5.7298596800000006</v>
      </c>
      <c r="E100" s="7">
        <f t="shared" si="14"/>
        <v>4.2973947600000004</v>
      </c>
      <c r="F100" s="7">
        <f t="shared" si="14"/>
        <v>2.8649298400000003</v>
      </c>
      <c r="G100" s="7">
        <f t="shared" si="14"/>
        <v>1.4324649200000001</v>
      </c>
      <c r="H100" s="7">
        <f t="shared" si="14"/>
        <v>7.1623246000000007</v>
      </c>
      <c r="I100" s="7">
        <f t="shared" si="14"/>
        <v>7.1623246000000007</v>
      </c>
      <c r="J100" s="7">
        <f t="shared" si="14"/>
        <v>7.1623246000000007</v>
      </c>
      <c r="K100" s="7">
        <f t="shared" si="14"/>
        <v>7.1623246000000007</v>
      </c>
      <c r="L100" s="7">
        <f t="shared" si="14"/>
        <v>7.1623246000000007</v>
      </c>
    </row>
    <row r="101" spans="2:12" x14ac:dyDescent="0.3">
      <c r="B101">
        <v>54</v>
      </c>
      <c r="C101" s="7">
        <f t="shared" si="14"/>
        <v>7.2974628000000008</v>
      </c>
      <c r="D101" s="7">
        <f t="shared" si="14"/>
        <v>5.8379702400000006</v>
      </c>
      <c r="E101" s="7">
        <f t="shared" si="14"/>
        <v>4.3784776800000005</v>
      </c>
      <c r="F101" s="7">
        <f t="shared" si="14"/>
        <v>2.9189851200000003</v>
      </c>
      <c r="G101" s="7">
        <f t="shared" si="14"/>
        <v>1.4594925600000002</v>
      </c>
      <c r="H101" s="7">
        <f t="shared" si="14"/>
        <v>7.2974628000000008</v>
      </c>
      <c r="I101" s="7">
        <f t="shared" si="14"/>
        <v>7.2974628000000008</v>
      </c>
      <c r="J101" s="7">
        <f t="shared" si="14"/>
        <v>7.2974628000000008</v>
      </c>
      <c r="K101" s="7">
        <f t="shared" si="14"/>
        <v>7.2974628000000008</v>
      </c>
      <c r="L101" s="7">
        <f t="shared" si="14"/>
        <v>7.2974628000000008</v>
      </c>
    </row>
    <row r="102" spans="2:12" x14ac:dyDescent="0.3">
      <c r="B102">
        <v>55</v>
      </c>
      <c r="C102" s="7">
        <f t="shared" si="14"/>
        <v>7.4326010000000009</v>
      </c>
      <c r="D102" s="7">
        <f t="shared" si="14"/>
        <v>5.9460808000000007</v>
      </c>
      <c r="E102" s="7">
        <f t="shared" si="14"/>
        <v>4.4595606000000005</v>
      </c>
      <c r="F102" s="7">
        <f t="shared" si="14"/>
        <v>2.9730404000000004</v>
      </c>
      <c r="G102" s="7">
        <f t="shared" si="14"/>
        <v>1.4865202000000002</v>
      </c>
      <c r="H102" s="7">
        <f t="shared" si="14"/>
        <v>7.4326010000000009</v>
      </c>
      <c r="I102" s="7">
        <f t="shared" si="14"/>
        <v>7.4326010000000009</v>
      </c>
      <c r="J102" s="7">
        <f t="shared" si="14"/>
        <v>7.4326010000000009</v>
      </c>
      <c r="K102" s="7">
        <f t="shared" si="14"/>
        <v>7.4326010000000009</v>
      </c>
      <c r="L102" s="7">
        <f t="shared" si="14"/>
        <v>7.4326010000000009</v>
      </c>
    </row>
    <row r="103" spans="2:12" x14ac:dyDescent="0.3">
      <c r="B103">
        <v>56</v>
      </c>
      <c r="C103" s="7">
        <f t="shared" si="14"/>
        <v>7.567739200000001</v>
      </c>
      <c r="D103" s="7">
        <f t="shared" si="14"/>
        <v>6.0541913600000017</v>
      </c>
      <c r="E103" s="7">
        <f t="shared" si="14"/>
        <v>4.5406435200000006</v>
      </c>
      <c r="F103" s="7">
        <f t="shared" si="14"/>
        <v>3.0270956800000008</v>
      </c>
      <c r="G103" s="7">
        <f t="shared" si="14"/>
        <v>1.5135478400000004</v>
      </c>
      <c r="H103" s="7">
        <f t="shared" si="14"/>
        <v>7.567739200000001</v>
      </c>
      <c r="I103" s="7">
        <f t="shared" si="14"/>
        <v>7.567739200000001</v>
      </c>
      <c r="J103" s="7">
        <f t="shared" si="14"/>
        <v>7.567739200000001</v>
      </c>
      <c r="K103" s="7">
        <f t="shared" si="14"/>
        <v>7.567739200000001</v>
      </c>
      <c r="L103" s="7">
        <f t="shared" si="14"/>
        <v>7.567739200000001</v>
      </c>
    </row>
    <row r="104" spans="2:12" x14ac:dyDescent="0.3">
      <c r="B104">
        <v>57</v>
      </c>
      <c r="C104" s="7">
        <f t="shared" si="14"/>
        <v>7.7028774000000002</v>
      </c>
      <c r="D104" s="7">
        <f t="shared" si="14"/>
        <v>6.16230192</v>
      </c>
      <c r="E104" s="7">
        <f t="shared" si="14"/>
        <v>4.6217264399999998</v>
      </c>
      <c r="F104" s="7">
        <f t="shared" si="14"/>
        <v>3.08115096</v>
      </c>
      <c r="G104" s="7">
        <f t="shared" si="14"/>
        <v>1.54057548</v>
      </c>
      <c r="H104" s="7">
        <f t="shared" si="14"/>
        <v>7.7028774000000002</v>
      </c>
      <c r="I104" s="7">
        <f t="shared" si="14"/>
        <v>7.7028774000000002</v>
      </c>
      <c r="J104" s="7">
        <f t="shared" si="14"/>
        <v>7.7028774000000002</v>
      </c>
      <c r="K104" s="7">
        <f t="shared" si="14"/>
        <v>7.7028774000000002</v>
      </c>
      <c r="L104" s="7">
        <f t="shared" si="14"/>
        <v>7.7028774000000002</v>
      </c>
    </row>
    <row r="105" spans="2:12" x14ac:dyDescent="0.3">
      <c r="B105">
        <v>58</v>
      </c>
      <c r="C105" s="7">
        <f t="shared" si="14"/>
        <v>7.8380156000000003</v>
      </c>
      <c r="D105" s="7">
        <f t="shared" si="14"/>
        <v>6.2704124800000001</v>
      </c>
      <c r="E105" s="7">
        <f t="shared" si="14"/>
        <v>4.7028093599999998</v>
      </c>
      <c r="F105" s="7">
        <f t="shared" si="14"/>
        <v>3.13520624</v>
      </c>
      <c r="G105" s="7">
        <f t="shared" si="14"/>
        <v>1.56760312</v>
      </c>
      <c r="H105" s="7">
        <f t="shared" si="14"/>
        <v>7.8380156000000003</v>
      </c>
      <c r="I105" s="7">
        <f t="shared" si="14"/>
        <v>7.8380156000000003</v>
      </c>
      <c r="J105" s="7">
        <f t="shared" si="14"/>
        <v>7.8380156000000003</v>
      </c>
      <c r="K105" s="7">
        <f t="shared" si="14"/>
        <v>7.8380156000000003</v>
      </c>
      <c r="L105" s="7">
        <f t="shared" si="14"/>
        <v>7.8380156000000003</v>
      </c>
    </row>
    <row r="106" spans="2:12" x14ac:dyDescent="0.3">
      <c r="B106">
        <v>59</v>
      </c>
      <c r="C106" s="7">
        <f t="shared" si="14"/>
        <v>7.9731538000000004</v>
      </c>
      <c r="D106" s="7">
        <f t="shared" si="14"/>
        <v>6.3785230400000001</v>
      </c>
      <c r="E106" s="7">
        <f t="shared" si="14"/>
        <v>4.7838922799999999</v>
      </c>
      <c r="F106" s="7">
        <f t="shared" si="14"/>
        <v>3.1892615200000001</v>
      </c>
      <c r="G106" s="7">
        <f t="shared" si="14"/>
        <v>1.59463076</v>
      </c>
      <c r="H106" s="7">
        <f t="shared" si="14"/>
        <v>7.9731538000000004</v>
      </c>
      <c r="I106" s="7">
        <f t="shared" si="14"/>
        <v>7.9731538000000004</v>
      </c>
      <c r="J106" s="7">
        <f t="shared" si="14"/>
        <v>7.9731538000000004</v>
      </c>
      <c r="K106" s="7">
        <f t="shared" si="14"/>
        <v>7.9731538000000004</v>
      </c>
      <c r="L106" s="7">
        <f t="shared" si="14"/>
        <v>7.9731538000000004</v>
      </c>
    </row>
    <row r="107" spans="2:12" x14ac:dyDescent="0.3">
      <c r="B107">
        <v>60</v>
      </c>
      <c r="C107" s="7">
        <f t="shared" si="14"/>
        <v>8.1082920000000005</v>
      </c>
      <c r="D107" s="7">
        <f t="shared" si="14"/>
        <v>6.4866336000000002</v>
      </c>
      <c r="E107" s="7">
        <f t="shared" si="14"/>
        <v>4.8649751999999999</v>
      </c>
      <c r="F107" s="7">
        <f t="shared" si="14"/>
        <v>3.2433168000000001</v>
      </c>
      <c r="G107" s="7">
        <f t="shared" si="14"/>
        <v>1.6216584000000001</v>
      </c>
      <c r="H107" s="7">
        <f t="shared" si="14"/>
        <v>8.1082920000000005</v>
      </c>
      <c r="I107" s="7">
        <f t="shared" si="14"/>
        <v>8.1082920000000005</v>
      </c>
      <c r="J107" s="7">
        <f t="shared" si="14"/>
        <v>8.1082920000000005</v>
      </c>
      <c r="K107" s="7">
        <f t="shared" si="14"/>
        <v>8.1082920000000005</v>
      </c>
      <c r="L107" s="7">
        <f t="shared" si="14"/>
        <v>8.1082920000000005</v>
      </c>
    </row>
    <row r="108" spans="2:12" x14ac:dyDescent="0.3">
      <c r="B108">
        <v>61</v>
      </c>
      <c r="C108" s="7">
        <f t="shared" si="14"/>
        <v>8.2434302000000006</v>
      </c>
      <c r="D108" s="7">
        <f t="shared" si="14"/>
        <v>6.5947441600000003</v>
      </c>
      <c r="E108" s="7">
        <f t="shared" si="14"/>
        <v>4.94605812</v>
      </c>
      <c r="F108" s="7">
        <f t="shared" si="14"/>
        <v>3.2973720800000001</v>
      </c>
      <c r="G108" s="7">
        <f t="shared" si="14"/>
        <v>1.6486860400000001</v>
      </c>
      <c r="H108" s="7">
        <f t="shared" si="14"/>
        <v>8.2434302000000006</v>
      </c>
      <c r="I108" s="7">
        <f t="shared" si="14"/>
        <v>8.2434302000000006</v>
      </c>
      <c r="J108" s="7">
        <f t="shared" si="14"/>
        <v>8.2434302000000006</v>
      </c>
      <c r="K108" s="7">
        <f t="shared" si="14"/>
        <v>8.2434302000000006</v>
      </c>
      <c r="L108" s="7">
        <f t="shared" si="14"/>
        <v>8.2434302000000006</v>
      </c>
    </row>
    <row r="109" spans="2:12" x14ac:dyDescent="0.3">
      <c r="B109">
        <v>62</v>
      </c>
      <c r="C109" s="7">
        <f t="shared" si="14"/>
        <v>8.3785684000000007</v>
      </c>
      <c r="D109" s="7">
        <f t="shared" si="14"/>
        <v>6.7028547200000004</v>
      </c>
      <c r="E109" s="7">
        <f t="shared" si="14"/>
        <v>5.0271410400000001</v>
      </c>
      <c r="F109" s="7">
        <f t="shared" si="14"/>
        <v>3.3514273600000002</v>
      </c>
      <c r="G109" s="7">
        <f t="shared" si="14"/>
        <v>1.6757136800000001</v>
      </c>
      <c r="H109" s="7">
        <f t="shared" si="14"/>
        <v>8.3785684000000007</v>
      </c>
      <c r="I109" s="7">
        <f t="shared" si="14"/>
        <v>8.3785684000000007</v>
      </c>
      <c r="J109" s="7">
        <f t="shared" si="14"/>
        <v>8.3785684000000007</v>
      </c>
      <c r="K109" s="7">
        <f t="shared" si="14"/>
        <v>8.3785684000000007</v>
      </c>
      <c r="L109" s="7">
        <f t="shared" si="14"/>
        <v>8.3785684000000007</v>
      </c>
    </row>
    <row r="110" spans="2:12" x14ac:dyDescent="0.3">
      <c r="B110">
        <v>63</v>
      </c>
      <c r="C110" s="7">
        <f t="shared" si="14"/>
        <v>8.5137066000000008</v>
      </c>
      <c r="D110" s="7">
        <f t="shared" si="14"/>
        <v>6.8109652800000005</v>
      </c>
      <c r="E110" s="7">
        <f t="shared" si="14"/>
        <v>5.1082239600000001</v>
      </c>
      <c r="F110" s="7">
        <f t="shared" si="14"/>
        <v>3.4054826400000002</v>
      </c>
      <c r="G110" s="7">
        <f t="shared" si="14"/>
        <v>1.7027413200000001</v>
      </c>
      <c r="H110" s="7">
        <f t="shared" si="14"/>
        <v>8.5137066000000008</v>
      </c>
      <c r="I110" s="7">
        <f t="shared" si="14"/>
        <v>8.5137066000000008</v>
      </c>
      <c r="J110" s="7">
        <f t="shared" si="14"/>
        <v>8.5137066000000008</v>
      </c>
      <c r="K110" s="7">
        <f t="shared" si="14"/>
        <v>8.5137066000000008</v>
      </c>
      <c r="L110" s="7">
        <f t="shared" si="14"/>
        <v>8.5137066000000008</v>
      </c>
    </row>
    <row r="111" spans="2:12" x14ac:dyDescent="0.3">
      <c r="B111">
        <v>64</v>
      </c>
      <c r="C111" s="7">
        <f t="shared" ref="C111:L126" si="15">$B111/100*C$35*$E$21</f>
        <v>8.6488448000000009</v>
      </c>
      <c r="D111" s="7">
        <f t="shared" si="15"/>
        <v>6.9190758400000005</v>
      </c>
      <c r="E111" s="7">
        <f t="shared" si="15"/>
        <v>5.1893068800000002</v>
      </c>
      <c r="F111" s="7">
        <f t="shared" si="15"/>
        <v>3.4595379200000003</v>
      </c>
      <c r="G111" s="7">
        <f t="shared" si="15"/>
        <v>1.7297689600000001</v>
      </c>
      <c r="H111" s="7">
        <f t="shared" si="15"/>
        <v>8.6488448000000009</v>
      </c>
      <c r="I111" s="7">
        <f t="shared" si="15"/>
        <v>8.6488448000000009</v>
      </c>
      <c r="J111" s="7">
        <f t="shared" si="15"/>
        <v>8.6488448000000009</v>
      </c>
      <c r="K111" s="7">
        <f t="shared" si="15"/>
        <v>8.6488448000000009</v>
      </c>
      <c r="L111" s="7">
        <f t="shared" si="15"/>
        <v>8.6488448000000009</v>
      </c>
    </row>
    <row r="112" spans="2:12" x14ac:dyDescent="0.3">
      <c r="B112">
        <v>65</v>
      </c>
      <c r="C112" s="7">
        <f t="shared" si="15"/>
        <v>8.783983000000001</v>
      </c>
      <c r="D112" s="7">
        <f t="shared" si="15"/>
        <v>7.0271864000000006</v>
      </c>
      <c r="E112" s="7">
        <f t="shared" si="15"/>
        <v>5.2703898000000002</v>
      </c>
      <c r="F112" s="7">
        <f t="shared" si="15"/>
        <v>3.5135932000000003</v>
      </c>
      <c r="G112" s="7">
        <f t="shared" si="15"/>
        <v>1.7567966000000002</v>
      </c>
      <c r="H112" s="7">
        <f t="shared" si="15"/>
        <v>8.783983000000001</v>
      </c>
      <c r="I112" s="7">
        <f t="shared" si="15"/>
        <v>8.783983000000001</v>
      </c>
      <c r="J112" s="7">
        <f t="shared" si="15"/>
        <v>8.783983000000001</v>
      </c>
      <c r="K112" s="7">
        <f t="shared" si="15"/>
        <v>8.783983000000001</v>
      </c>
      <c r="L112" s="7">
        <f t="shared" si="15"/>
        <v>8.783983000000001</v>
      </c>
    </row>
    <row r="113" spans="2:12" x14ac:dyDescent="0.3">
      <c r="B113">
        <v>66</v>
      </c>
      <c r="C113" s="7">
        <f t="shared" si="15"/>
        <v>8.9191212000000011</v>
      </c>
      <c r="D113" s="7">
        <f t="shared" si="15"/>
        <v>7.1352969600000007</v>
      </c>
      <c r="E113" s="7">
        <f t="shared" si="15"/>
        <v>5.3514727200000003</v>
      </c>
      <c r="F113" s="7">
        <f t="shared" si="15"/>
        <v>3.5676484800000003</v>
      </c>
      <c r="G113" s="7">
        <f t="shared" si="15"/>
        <v>1.7838242400000002</v>
      </c>
      <c r="H113" s="7">
        <f t="shared" si="15"/>
        <v>8.9191212000000011</v>
      </c>
      <c r="I113" s="7">
        <f t="shared" si="15"/>
        <v>8.9191212000000011</v>
      </c>
      <c r="J113" s="7">
        <f t="shared" si="15"/>
        <v>8.9191212000000011</v>
      </c>
      <c r="K113" s="7">
        <f t="shared" si="15"/>
        <v>8.9191212000000011</v>
      </c>
      <c r="L113" s="7">
        <f t="shared" si="15"/>
        <v>8.9191212000000011</v>
      </c>
    </row>
    <row r="114" spans="2:12" x14ac:dyDescent="0.3">
      <c r="B114">
        <v>67</v>
      </c>
      <c r="C114" s="7">
        <f t="shared" si="15"/>
        <v>9.0542594000000012</v>
      </c>
      <c r="D114" s="7">
        <f t="shared" si="15"/>
        <v>7.2434075200000008</v>
      </c>
      <c r="E114" s="7">
        <f t="shared" si="15"/>
        <v>5.4325556400000004</v>
      </c>
      <c r="F114" s="7">
        <f t="shared" si="15"/>
        <v>3.6217037600000004</v>
      </c>
      <c r="G114" s="7">
        <f t="shared" si="15"/>
        <v>1.8108518800000002</v>
      </c>
      <c r="H114" s="7">
        <f t="shared" si="15"/>
        <v>9.0542594000000012</v>
      </c>
      <c r="I114" s="7">
        <f t="shared" si="15"/>
        <v>9.0542594000000012</v>
      </c>
      <c r="J114" s="7">
        <f t="shared" si="15"/>
        <v>9.0542594000000012</v>
      </c>
      <c r="K114" s="7">
        <f t="shared" si="15"/>
        <v>9.0542594000000012</v>
      </c>
      <c r="L114" s="7">
        <f t="shared" si="15"/>
        <v>9.0542594000000012</v>
      </c>
    </row>
    <row r="115" spans="2:12" x14ac:dyDescent="0.3">
      <c r="B115">
        <v>68</v>
      </c>
      <c r="C115" s="7">
        <f t="shared" si="15"/>
        <v>9.1893976000000013</v>
      </c>
      <c r="D115" s="7">
        <f t="shared" si="15"/>
        <v>7.3515180800000008</v>
      </c>
      <c r="E115" s="7">
        <f t="shared" si="15"/>
        <v>5.5136385600000004</v>
      </c>
      <c r="F115" s="7">
        <f t="shared" si="15"/>
        <v>3.6757590400000004</v>
      </c>
      <c r="G115" s="7">
        <f t="shared" si="15"/>
        <v>1.8378795200000002</v>
      </c>
      <c r="H115" s="7">
        <f t="shared" si="15"/>
        <v>9.1893976000000013</v>
      </c>
      <c r="I115" s="7">
        <f t="shared" si="15"/>
        <v>9.1893976000000013</v>
      </c>
      <c r="J115" s="7">
        <f t="shared" si="15"/>
        <v>9.1893976000000013</v>
      </c>
      <c r="K115" s="7">
        <f t="shared" si="15"/>
        <v>9.1893976000000013</v>
      </c>
      <c r="L115" s="7">
        <f t="shared" si="15"/>
        <v>9.1893976000000013</v>
      </c>
    </row>
    <row r="116" spans="2:12" x14ac:dyDescent="0.3">
      <c r="B116">
        <v>69</v>
      </c>
      <c r="C116" s="7">
        <f t="shared" si="15"/>
        <v>9.3245357999999996</v>
      </c>
      <c r="D116" s="7">
        <f t="shared" si="15"/>
        <v>7.4596286399999991</v>
      </c>
      <c r="E116" s="7">
        <f t="shared" si="15"/>
        <v>5.5947214800000005</v>
      </c>
      <c r="F116" s="7">
        <f t="shared" si="15"/>
        <v>3.7298143199999996</v>
      </c>
      <c r="G116" s="7">
        <f t="shared" si="15"/>
        <v>1.8649071599999998</v>
      </c>
      <c r="H116" s="7">
        <f t="shared" si="15"/>
        <v>9.3245357999999996</v>
      </c>
      <c r="I116" s="7">
        <f t="shared" si="15"/>
        <v>9.3245357999999996</v>
      </c>
      <c r="J116" s="7">
        <f t="shared" si="15"/>
        <v>9.3245357999999996</v>
      </c>
      <c r="K116" s="7">
        <f t="shared" si="15"/>
        <v>9.3245357999999996</v>
      </c>
      <c r="L116" s="7">
        <f t="shared" si="15"/>
        <v>9.3245357999999996</v>
      </c>
    </row>
    <row r="117" spans="2:12" x14ac:dyDescent="0.3">
      <c r="B117">
        <v>70</v>
      </c>
      <c r="C117" s="7">
        <f t="shared" si="15"/>
        <v>9.4596739999999997</v>
      </c>
      <c r="D117" s="7">
        <f t="shared" si="15"/>
        <v>7.5677392000000001</v>
      </c>
      <c r="E117" s="7">
        <f t="shared" si="15"/>
        <v>5.6758044000000005</v>
      </c>
      <c r="F117" s="7">
        <f t="shared" si="15"/>
        <v>3.7838696000000001</v>
      </c>
      <c r="G117" s="7">
        <f t="shared" si="15"/>
        <v>1.8919348</v>
      </c>
      <c r="H117" s="7">
        <f t="shared" si="15"/>
        <v>9.4596739999999997</v>
      </c>
      <c r="I117" s="7">
        <f t="shared" si="15"/>
        <v>9.4596739999999997</v>
      </c>
      <c r="J117" s="7">
        <f t="shared" si="15"/>
        <v>9.4596739999999997</v>
      </c>
      <c r="K117" s="7">
        <f t="shared" si="15"/>
        <v>9.4596739999999997</v>
      </c>
      <c r="L117" s="7">
        <f t="shared" si="15"/>
        <v>9.4596739999999997</v>
      </c>
    </row>
    <row r="118" spans="2:12" x14ac:dyDescent="0.3">
      <c r="B118">
        <v>71</v>
      </c>
      <c r="C118" s="7">
        <f t="shared" si="15"/>
        <v>9.5948121999999998</v>
      </c>
      <c r="D118" s="7">
        <f t="shared" si="15"/>
        <v>7.6758497600000002</v>
      </c>
      <c r="E118" s="7">
        <f t="shared" si="15"/>
        <v>5.7568873200000006</v>
      </c>
      <c r="F118" s="7">
        <f t="shared" si="15"/>
        <v>3.8379248800000001</v>
      </c>
      <c r="G118" s="7">
        <f t="shared" si="15"/>
        <v>1.91896244</v>
      </c>
      <c r="H118" s="7">
        <f t="shared" si="15"/>
        <v>9.5948121999999998</v>
      </c>
      <c r="I118" s="7">
        <f t="shared" si="15"/>
        <v>9.5948121999999998</v>
      </c>
      <c r="J118" s="7">
        <f t="shared" si="15"/>
        <v>9.5948121999999998</v>
      </c>
      <c r="K118" s="7">
        <f t="shared" si="15"/>
        <v>9.5948121999999998</v>
      </c>
      <c r="L118" s="7">
        <f t="shared" si="15"/>
        <v>9.5948121999999998</v>
      </c>
    </row>
    <row r="119" spans="2:12" x14ac:dyDescent="0.3">
      <c r="B119">
        <v>72</v>
      </c>
      <c r="C119" s="7">
        <f t="shared" si="15"/>
        <v>9.7299503999999999</v>
      </c>
      <c r="D119" s="7">
        <f t="shared" si="15"/>
        <v>7.7839603200000003</v>
      </c>
      <c r="E119" s="7">
        <f t="shared" si="15"/>
        <v>5.8379702400000006</v>
      </c>
      <c r="F119" s="7">
        <f t="shared" si="15"/>
        <v>3.8919801600000001</v>
      </c>
      <c r="G119" s="7">
        <f t="shared" si="15"/>
        <v>1.9459900800000001</v>
      </c>
      <c r="H119" s="7">
        <f t="shared" si="15"/>
        <v>9.7299503999999999</v>
      </c>
      <c r="I119" s="7">
        <f t="shared" si="15"/>
        <v>9.7299503999999999</v>
      </c>
      <c r="J119" s="7">
        <f t="shared" si="15"/>
        <v>9.7299503999999999</v>
      </c>
      <c r="K119" s="7">
        <f t="shared" si="15"/>
        <v>9.7299503999999999</v>
      </c>
      <c r="L119" s="7">
        <f t="shared" si="15"/>
        <v>9.7299503999999999</v>
      </c>
    </row>
    <row r="120" spans="2:12" x14ac:dyDescent="0.3">
      <c r="B120">
        <v>73</v>
      </c>
      <c r="C120" s="7">
        <f t="shared" si="15"/>
        <v>9.8650886</v>
      </c>
      <c r="D120" s="7">
        <f t="shared" si="15"/>
        <v>7.8920708800000003</v>
      </c>
      <c r="E120" s="7">
        <f t="shared" si="15"/>
        <v>5.9190531600000007</v>
      </c>
      <c r="F120" s="7">
        <f t="shared" si="15"/>
        <v>3.9460354400000002</v>
      </c>
      <c r="G120" s="7">
        <f t="shared" si="15"/>
        <v>1.9730177200000001</v>
      </c>
      <c r="H120" s="7">
        <f t="shared" si="15"/>
        <v>9.8650886</v>
      </c>
      <c r="I120" s="7">
        <f t="shared" si="15"/>
        <v>9.8650886</v>
      </c>
      <c r="J120" s="7">
        <f t="shared" si="15"/>
        <v>9.8650886</v>
      </c>
      <c r="K120" s="7">
        <f t="shared" si="15"/>
        <v>9.8650886</v>
      </c>
      <c r="L120" s="7">
        <f t="shared" si="15"/>
        <v>9.8650886</v>
      </c>
    </row>
    <row r="121" spans="2:12" x14ac:dyDescent="0.3">
      <c r="B121">
        <v>74</v>
      </c>
      <c r="C121" s="7">
        <f t="shared" si="15"/>
        <v>10.0002268</v>
      </c>
      <c r="D121" s="7">
        <f t="shared" si="15"/>
        <v>8.0001814400000004</v>
      </c>
      <c r="E121" s="7">
        <f t="shared" si="15"/>
        <v>6.0001360800000008</v>
      </c>
      <c r="F121" s="7">
        <f t="shared" si="15"/>
        <v>4.0000907200000002</v>
      </c>
      <c r="G121" s="7">
        <f t="shared" si="15"/>
        <v>2.0000453600000001</v>
      </c>
      <c r="H121" s="7">
        <f t="shared" si="15"/>
        <v>10.0002268</v>
      </c>
      <c r="I121" s="7">
        <f t="shared" si="15"/>
        <v>10.0002268</v>
      </c>
      <c r="J121" s="7">
        <f t="shared" si="15"/>
        <v>10.0002268</v>
      </c>
      <c r="K121" s="7">
        <f t="shared" si="15"/>
        <v>10.0002268</v>
      </c>
      <c r="L121" s="7">
        <f t="shared" si="15"/>
        <v>10.0002268</v>
      </c>
    </row>
    <row r="122" spans="2:12" x14ac:dyDescent="0.3">
      <c r="B122">
        <v>75</v>
      </c>
      <c r="C122" s="7">
        <f t="shared" si="15"/>
        <v>10.135365</v>
      </c>
      <c r="D122" s="7">
        <f t="shared" si="15"/>
        <v>8.1082920000000023</v>
      </c>
      <c r="E122" s="7">
        <f t="shared" si="15"/>
        <v>6.0812189999999999</v>
      </c>
      <c r="F122" s="7">
        <f t="shared" si="15"/>
        <v>4.0541460000000011</v>
      </c>
      <c r="G122" s="7">
        <f t="shared" si="15"/>
        <v>2.0270730000000006</v>
      </c>
      <c r="H122" s="7">
        <f t="shared" si="15"/>
        <v>10.135365</v>
      </c>
      <c r="I122" s="7">
        <f t="shared" si="15"/>
        <v>10.135365</v>
      </c>
      <c r="J122" s="7">
        <f t="shared" si="15"/>
        <v>10.135365</v>
      </c>
      <c r="K122" s="7">
        <f t="shared" si="15"/>
        <v>10.135365</v>
      </c>
      <c r="L122" s="7">
        <f t="shared" si="15"/>
        <v>10.135365</v>
      </c>
    </row>
    <row r="123" spans="2:12" x14ac:dyDescent="0.3">
      <c r="B123">
        <v>76</v>
      </c>
      <c r="C123" s="7">
        <f t="shared" si="15"/>
        <v>10.2705032</v>
      </c>
      <c r="D123" s="7">
        <f t="shared" si="15"/>
        <v>8.2164025600000024</v>
      </c>
      <c r="E123" s="7">
        <f t="shared" si="15"/>
        <v>6.16230192</v>
      </c>
      <c r="F123" s="7">
        <f t="shared" si="15"/>
        <v>4.1082012800000012</v>
      </c>
      <c r="G123" s="7">
        <f t="shared" si="15"/>
        <v>2.0541006400000006</v>
      </c>
      <c r="H123" s="7">
        <f t="shared" si="15"/>
        <v>10.2705032</v>
      </c>
      <c r="I123" s="7">
        <f t="shared" si="15"/>
        <v>10.2705032</v>
      </c>
      <c r="J123" s="7">
        <f t="shared" si="15"/>
        <v>10.2705032</v>
      </c>
      <c r="K123" s="7">
        <f t="shared" si="15"/>
        <v>10.2705032</v>
      </c>
      <c r="L123" s="7">
        <f t="shared" si="15"/>
        <v>10.2705032</v>
      </c>
    </row>
    <row r="124" spans="2:12" x14ac:dyDescent="0.3">
      <c r="B124">
        <v>77</v>
      </c>
      <c r="C124" s="7">
        <f t="shared" si="15"/>
        <v>10.4056414</v>
      </c>
      <c r="D124" s="7">
        <f t="shared" si="15"/>
        <v>8.3245131200000024</v>
      </c>
      <c r="E124" s="7">
        <f t="shared" si="15"/>
        <v>6.24338484</v>
      </c>
      <c r="F124" s="7">
        <f t="shared" si="15"/>
        <v>4.1622565600000012</v>
      </c>
      <c r="G124" s="7">
        <f t="shared" si="15"/>
        <v>2.0811282800000006</v>
      </c>
      <c r="H124" s="7">
        <f t="shared" si="15"/>
        <v>10.4056414</v>
      </c>
      <c r="I124" s="7">
        <f t="shared" si="15"/>
        <v>10.4056414</v>
      </c>
      <c r="J124" s="7">
        <f t="shared" si="15"/>
        <v>10.4056414</v>
      </c>
      <c r="K124" s="7">
        <f t="shared" si="15"/>
        <v>10.4056414</v>
      </c>
      <c r="L124" s="7">
        <f t="shared" si="15"/>
        <v>10.4056414</v>
      </c>
    </row>
    <row r="125" spans="2:12" x14ac:dyDescent="0.3">
      <c r="B125">
        <v>78</v>
      </c>
      <c r="C125" s="7">
        <f t="shared" si="15"/>
        <v>10.5407796</v>
      </c>
      <c r="D125" s="7">
        <f t="shared" si="15"/>
        <v>8.4326236800000025</v>
      </c>
      <c r="E125" s="7">
        <f t="shared" si="15"/>
        <v>6.3244677600000001</v>
      </c>
      <c r="F125" s="7">
        <f t="shared" si="15"/>
        <v>4.2163118400000013</v>
      </c>
      <c r="G125" s="7">
        <f t="shared" si="15"/>
        <v>2.1081559200000006</v>
      </c>
      <c r="H125" s="7">
        <f t="shared" si="15"/>
        <v>10.5407796</v>
      </c>
      <c r="I125" s="7">
        <f t="shared" si="15"/>
        <v>10.5407796</v>
      </c>
      <c r="J125" s="7">
        <f t="shared" si="15"/>
        <v>10.5407796</v>
      </c>
      <c r="K125" s="7">
        <f t="shared" si="15"/>
        <v>10.5407796</v>
      </c>
      <c r="L125" s="7">
        <f t="shared" si="15"/>
        <v>10.5407796</v>
      </c>
    </row>
    <row r="126" spans="2:12" x14ac:dyDescent="0.3">
      <c r="B126">
        <v>79</v>
      </c>
      <c r="C126" s="7">
        <f t="shared" si="15"/>
        <v>10.675917800000001</v>
      </c>
      <c r="D126" s="7">
        <f t="shared" si="15"/>
        <v>8.5407342400000026</v>
      </c>
      <c r="E126" s="7">
        <f t="shared" si="15"/>
        <v>6.4055506800000002</v>
      </c>
      <c r="F126" s="7">
        <f t="shared" si="15"/>
        <v>4.2703671200000013</v>
      </c>
      <c r="G126" s="7">
        <f t="shared" si="15"/>
        <v>2.1351835600000006</v>
      </c>
      <c r="H126" s="7">
        <f t="shared" si="15"/>
        <v>10.675917800000001</v>
      </c>
      <c r="I126" s="7">
        <f t="shared" si="15"/>
        <v>10.675917800000001</v>
      </c>
      <c r="J126" s="7">
        <f t="shared" si="15"/>
        <v>10.675917800000001</v>
      </c>
      <c r="K126" s="7">
        <f t="shared" si="15"/>
        <v>10.675917800000001</v>
      </c>
      <c r="L126" s="7">
        <f t="shared" si="15"/>
        <v>10.675917800000001</v>
      </c>
    </row>
    <row r="127" spans="2:12" x14ac:dyDescent="0.3">
      <c r="B127">
        <v>80</v>
      </c>
      <c r="C127" s="7">
        <f t="shared" ref="C127:L142" si="16">$B127/100*C$35*$E$21</f>
        <v>10.811056000000001</v>
      </c>
      <c r="D127" s="7">
        <f t="shared" si="16"/>
        <v>8.6488448000000027</v>
      </c>
      <c r="E127" s="7">
        <f t="shared" si="16"/>
        <v>6.4866336000000002</v>
      </c>
      <c r="F127" s="7">
        <f t="shared" si="16"/>
        <v>4.3244224000000013</v>
      </c>
      <c r="G127" s="7">
        <f t="shared" si="16"/>
        <v>2.1622112000000007</v>
      </c>
      <c r="H127" s="7">
        <f t="shared" si="16"/>
        <v>10.811056000000001</v>
      </c>
      <c r="I127" s="7">
        <f t="shared" si="16"/>
        <v>10.811056000000001</v>
      </c>
      <c r="J127" s="7">
        <f t="shared" si="16"/>
        <v>10.811056000000001</v>
      </c>
      <c r="K127" s="7">
        <f t="shared" si="16"/>
        <v>10.811056000000001</v>
      </c>
      <c r="L127" s="7">
        <f t="shared" si="16"/>
        <v>10.811056000000001</v>
      </c>
    </row>
    <row r="128" spans="2:12" x14ac:dyDescent="0.3">
      <c r="B128">
        <v>81</v>
      </c>
      <c r="C128" s="7">
        <f t="shared" si="16"/>
        <v>10.946194200000001</v>
      </c>
      <c r="D128" s="7">
        <f t="shared" si="16"/>
        <v>8.7569553600000027</v>
      </c>
      <c r="E128" s="7">
        <f t="shared" si="16"/>
        <v>6.5677165200000003</v>
      </c>
      <c r="F128" s="7">
        <f t="shared" si="16"/>
        <v>4.3784776800000014</v>
      </c>
      <c r="G128" s="7">
        <f t="shared" si="16"/>
        <v>2.1892388400000007</v>
      </c>
      <c r="H128" s="7">
        <f t="shared" si="16"/>
        <v>10.946194200000001</v>
      </c>
      <c r="I128" s="7">
        <f t="shared" si="16"/>
        <v>10.946194200000001</v>
      </c>
      <c r="J128" s="7">
        <f t="shared" si="16"/>
        <v>10.946194200000001</v>
      </c>
      <c r="K128" s="7">
        <f t="shared" si="16"/>
        <v>10.946194200000001</v>
      </c>
      <c r="L128" s="7">
        <f t="shared" si="16"/>
        <v>10.946194200000001</v>
      </c>
    </row>
    <row r="129" spans="2:12" x14ac:dyDescent="0.3">
      <c r="B129">
        <v>82</v>
      </c>
      <c r="C129" s="7">
        <f t="shared" si="16"/>
        <v>11.081332400000001</v>
      </c>
      <c r="D129" s="7">
        <f t="shared" si="16"/>
        <v>8.865065920000001</v>
      </c>
      <c r="E129" s="7">
        <f t="shared" si="16"/>
        <v>6.6487994399999994</v>
      </c>
      <c r="F129" s="7">
        <f t="shared" si="16"/>
        <v>4.4325329600000005</v>
      </c>
      <c r="G129" s="7">
        <f t="shared" si="16"/>
        <v>2.2162664800000003</v>
      </c>
      <c r="H129" s="7">
        <f t="shared" si="16"/>
        <v>11.081332400000001</v>
      </c>
      <c r="I129" s="7">
        <f t="shared" si="16"/>
        <v>11.081332400000001</v>
      </c>
      <c r="J129" s="7">
        <f t="shared" si="16"/>
        <v>11.081332400000001</v>
      </c>
      <c r="K129" s="7">
        <f t="shared" si="16"/>
        <v>11.081332400000001</v>
      </c>
      <c r="L129" s="7">
        <f t="shared" si="16"/>
        <v>11.081332400000001</v>
      </c>
    </row>
    <row r="130" spans="2:12" x14ac:dyDescent="0.3">
      <c r="B130">
        <v>83</v>
      </c>
      <c r="C130" s="7">
        <f t="shared" si="16"/>
        <v>11.216470600000001</v>
      </c>
      <c r="D130" s="7">
        <f t="shared" si="16"/>
        <v>8.9731764800000011</v>
      </c>
      <c r="E130" s="7">
        <f t="shared" si="16"/>
        <v>6.7298823599999995</v>
      </c>
      <c r="F130" s="7">
        <f t="shared" si="16"/>
        <v>4.4865882400000006</v>
      </c>
      <c r="G130" s="7">
        <f t="shared" si="16"/>
        <v>2.2432941200000003</v>
      </c>
      <c r="H130" s="7">
        <f t="shared" si="16"/>
        <v>11.216470600000001</v>
      </c>
      <c r="I130" s="7">
        <f t="shared" si="16"/>
        <v>11.216470600000001</v>
      </c>
      <c r="J130" s="7">
        <f t="shared" si="16"/>
        <v>11.216470600000001</v>
      </c>
      <c r="K130" s="7">
        <f t="shared" si="16"/>
        <v>11.216470600000001</v>
      </c>
      <c r="L130" s="7">
        <f t="shared" si="16"/>
        <v>11.216470600000001</v>
      </c>
    </row>
    <row r="131" spans="2:12" x14ac:dyDescent="0.3">
      <c r="B131">
        <v>84</v>
      </c>
      <c r="C131" s="7">
        <f t="shared" si="16"/>
        <v>11.351608800000001</v>
      </c>
      <c r="D131" s="7">
        <f t="shared" si="16"/>
        <v>9.0812870400000012</v>
      </c>
      <c r="E131" s="7">
        <f t="shared" si="16"/>
        <v>6.8109652800000005</v>
      </c>
      <c r="F131" s="7">
        <f t="shared" si="16"/>
        <v>4.5406435200000006</v>
      </c>
      <c r="G131" s="7">
        <f t="shared" si="16"/>
        <v>2.2703217600000003</v>
      </c>
      <c r="H131" s="7">
        <f t="shared" si="16"/>
        <v>11.351608800000001</v>
      </c>
      <c r="I131" s="7">
        <f t="shared" si="16"/>
        <v>11.351608800000001</v>
      </c>
      <c r="J131" s="7">
        <f t="shared" si="16"/>
        <v>11.351608800000001</v>
      </c>
      <c r="K131" s="7">
        <f t="shared" si="16"/>
        <v>11.351608800000001</v>
      </c>
      <c r="L131" s="7">
        <f t="shared" si="16"/>
        <v>11.351608800000001</v>
      </c>
    </row>
    <row r="132" spans="2:12" x14ac:dyDescent="0.3">
      <c r="B132">
        <v>85</v>
      </c>
      <c r="C132" s="7">
        <f t="shared" si="16"/>
        <v>11.486747000000001</v>
      </c>
      <c r="D132" s="7">
        <f t="shared" si="16"/>
        <v>9.1893976000000013</v>
      </c>
      <c r="E132" s="7">
        <f t="shared" si="16"/>
        <v>6.8920482000000005</v>
      </c>
      <c r="F132" s="7">
        <f t="shared" si="16"/>
        <v>4.5946988000000006</v>
      </c>
      <c r="G132" s="7">
        <f t="shared" si="16"/>
        <v>2.2973494000000003</v>
      </c>
      <c r="H132" s="7">
        <f t="shared" si="16"/>
        <v>11.486747000000001</v>
      </c>
      <c r="I132" s="7">
        <f t="shared" si="16"/>
        <v>11.486747000000001</v>
      </c>
      <c r="J132" s="7">
        <f t="shared" si="16"/>
        <v>11.486747000000001</v>
      </c>
      <c r="K132" s="7">
        <f t="shared" si="16"/>
        <v>11.486747000000001</v>
      </c>
      <c r="L132" s="7">
        <f t="shared" si="16"/>
        <v>11.486747000000001</v>
      </c>
    </row>
    <row r="133" spans="2:12" x14ac:dyDescent="0.3">
      <c r="B133">
        <v>86</v>
      </c>
      <c r="C133" s="7">
        <f t="shared" si="16"/>
        <v>11.621885200000001</v>
      </c>
      <c r="D133" s="7">
        <f t="shared" si="16"/>
        <v>9.2975081600000014</v>
      </c>
      <c r="E133" s="7">
        <f t="shared" si="16"/>
        <v>6.9731311200000006</v>
      </c>
      <c r="F133" s="7">
        <f t="shared" si="16"/>
        <v>4.6487540800000007</v>
      </c>
      <c r="G133" s="7">
        <f t="shared" si="16"/>
        <v>2.3243770400000003</v>
      </c>
      <c r="H133" s="7">
        <f t="shared" si="16"/>
        <v>11.621885200000001</v>
      </c>
      <c r="I133" s="7">
        <f t="shared" si="16"/>
        <v>11.621885200000001</v>
      </c>
      <c r="J133" s="7">
        <f t="shared" si="16"/>
        <v>11.621885200000001</v>
      </c>
      <c r="K133" s="7">
        <f t="shared" si="16"/>
        <v>11.621885200000001</v>
      </c>
      <c r="L133" s="7">
        <f t="shared" si="16"/>
        <v>11.621885200000001</v>
      </c>
    </row>
    <row r="134" spans="2:12" x14ac:dyDescent="0.3">
      <c r="B134">
        <v>87</v>
      </c>
      <c r="C134" s="7">
        <f t="shared" si="16"/>
        <v>11.757023400000001</v>
      </c>
      <c r="D134" s="7">
        <f t="shared" si="16"/>
        <v>9.4056187200000014</v>
      </c>
      <c r="E134" s="7">
        <f t="shared" si="16"/>
        <v>7.0542140400000006</v>
      </c>
      <c r="F134" s="7">
        <f t="shared" si="16"/>
        <v>4.7028093600000007</v>
      </c>
      <c r="G134" s="7">
        <f t="shared" si="16"/>
        <v>2.3514046800000004</v>
      </c>
      <c r="H134" s="7">
        <f t="shared" si="16"/>
        <v>11.757023400000001</v>
      </c>
      <c r="I134" s="7">
        <f t="shared" si="16"/>
        <v>11.757023400000001</v>
      </c>
      <c r="J134" s="7">
        <f t="shared" si="16"/>
        <v>11.757023400000001</v>
      </c>
      <c r="K134" s="7">
        <f t="shared" si="16"/>
        <v>11.757023400000001</v>
      </c>
      <c r="L134" s="7">
        <f t="shared" si="16"/>
        <v>11.757023400000001</v>
      </c>
    </row>
    <row r="135" spans="2:12" x14ac:dyDescent="0.3">
      <c r="B135">
        <v>88</v>
      </c>
      <c r="C135" s="7">
        <f t="shared" si="16"/>
        <v>11.892161600000001</v>
      </c>
      <c r="D135" s="7">
        <f t="shared" si="16"/>
        <v>9.5137292800000015</v>
      </c>
      <c r="E135" s="7">
        <f t="shared" si="16"/>
        <v>7.1352969600000007</v>
      </c>
      <c r="F135" s="7">
        <f t="shared" si="16"/>
        <v>4.7568646400000008</v>
      </c>
      <c r="G135" s="7">
        <f t="shared" si="16"/>
        <v>2.3784323200000004</v>
      </c>
      <c r="H135" s="7">
        <f t="shared" si="16"/>
        <v>11.892161600000001</v>
      </c>
      <c r="I135" s="7">
        <f t="shared" si="16"/>
        <v>11.892161600000001</v>
      </c>
      <c r="J135" s="7">
        <f t="shared" si="16"/>
        <v>11.892161600000001</v>
      </c>
      <c r="K135" s="7">
        <f t="shared" si="16"/>
        <v>11.892161600000001</v>
      </c>
      <c r="L135" s="7">
        <f t="shared" si="16"/>
        <v>11.892161600000001</v>
      </c>
    </row>
    <row r="136" spans="2:12" x14ac:dyDescent="0.3">
      <c r="B136">
        <v>89</v>
      </c>
      <c r="C136" s="7">
        <f t="shared" si="16"/>
        <v>12.027299800000002</v>
      </c>
      <c r="D136" s="7">
        <f t="shared" si="16"/>
        <v>9.6218398400000016</v>
      </c>
      <c r="E136" s="7">
        <f t="shared" si="16"/>
        <v>7.2163798800000007</v>
      </c>
      <c r="F136" s="7">
        <f t="shared" si="16"/>
        <v>4.8109199200000008</v>
      </c>
      <c r="G136" s="7">
        <f t="shared" si="16"/>
        <v>2.4054599600000004</v>
      </c>
      <c r="H136" s="7">
        <f t="shared" si="16"/>
        <v>12.027299800000002</v>
      </c>
      <c r="I136" s="7">
        <f t="shared" si="16"/>
        <v>12.027299800000002</v>
      </c>
      <c r="J136" s="7">
        <f t="shared" si="16"/>
        <v>12.027299800000002</v>
      </c>
      <c r="K136" s="7">
        <f t="shared" si="16"/>
        <v>12.027299800000002</v>
      </c>
      <c r="L136" s="7">
        <f t="shared" si="16"/>
        <v>12.027299800000002</v>
      </c>
    </row>
    <row r="137" spans="2:12" x14ac:dyDescent="0.3">
      <c r="B137">
        <v>90</v>
      </c>
      <c r="C137" s="7">
        <f t="shared" si="16"/>
        <v>12.162438000000002</v>
      </c>
      <c r="D137" s="7">
        <f t="shared" si="16"/>
        <v>9.7299504000000017</v>
      </c>
      <c r="E137" s="7">
        <f t="shared" si="16"/>
        <v>7.2974628000000008</v>
      </c>
      <c r="F137" s="7">
        <f t="shared" si="16"/>
        <v>4.8649752000000008</v>
      </c>
      <c r="G137" s="7">
        <f t="shared" si="16"/>
        <v>2.4324876000000004</v>
      </c>
      <c r="H137" s="7">
        <f t="shared" si="16"/>
        <v>12.162438000000002</v>
      </c>
      <c r="I137" s="7">
        <f t="shared" si="16"/>
        <v>12.162438000000002</v>
      </c>
      <c r="J137" s="7">
        <f t="shared" si="16"/>
        <v>12.162438000000002</v>
      </c>
      <c r="K137" s="7">
        <f t="shared" si="16"/>
        <v>12.162438000000002</v>
      </c>
      <c r="L137" s="7">
        <f t="shared" si="16"/>
        <v>12.162438000000002</v>
      </c>
    </row>
    <row r="138" spans="2:12" x14ac:dyDescent="0.3">
      <c r="B138">
        <v>91</v>
      </c>
      <c r="C138" s="7">
        <f t="shared" si="16"/>
        <v>12.297576200000002</v>
      </c>
      <c r="D138" s="7">
        <f t="shared" si="16"/>
        <v>9.8380609600000017</v>
      </c>
      <c r="E138" s="7">
        <f t="shared" si="16"/>
        <v>7.3785457200000009</v>
      </c>
      <c r="F138" s="7">
        <f t="shared" si="16"/>
        <v>4.9190304800000009</v>
      </c>
      <c r="G138" s="7">
        <f t="shared" si="16"/>
        <v>2.4595152400000004</v>
      </c>
      <c r="H138" s="7">
        <f t="shared" si="16"/>
        <v>12.297576200000002</v>
      </c>
      <c r="I138" s="7">
        <f t="shared" si="16"/>
        <v>12.297576200000002</v>
      </c>
      <c r="J138" s="7">
        <f t="shared" si="16"/>
        <v>12.297576200000002</v>
      </c>
      <c r="K138" s="7">
        <f t="shared" si="16"/>
        <v>12.297576200000002</v>
      </c>
      <c r="L138" s="7">
        <f t="shared" si="16"/>
        <v>12.297576200000002</v>
      </c>
    </row>
    <row r="139" spans="2:12" x14ac:dyDescent="0.3">
      <c r="B139">
        <v>92</v>
      </c>
      <c r="C139" s="7">
        <f t="shared" si="16"/>
        <v>12.432714400000002</v>
      </c>
      <c r="D139" s="7">
        <f t="shared" si="16"/>
        <v>9.9461715200000018</v>
      </c>
      <c r="E139" s="7">
        <f t="shared" si="16"/>
        <v>7.4596286400000009</v>
      </c>
      <c r="F139" s="7">
        <f t="shared" si="16"/>
        <v>4.9730857600000009</v>
      </c>
      <c r="G139" s="7">
        <f t="shared" si="16"/>
        <v>2.4865428800000005</v>
      </c>
      <c r="H139" s="7">
        <f t="shared" si="16"/>
        <v>12.432714400000002</v>
      </c>
      <c r="I139" s="7">
        <f t="shared" si="16"/>
        <v>12.432714400000002</v>
      </c>
      <c r="J139" s="7">
        <f t="shared" si="16"/>
        <v>12.432714400000002</v>
      </c>
      <c r="K139" s="7">
        <f t="shared" si="16"/>
        <v>12.432714400000002</v>
      </c>
      <c r="L139" s="7">
        <f t="shared" si="16"/>
        <v>12.432714400000002</v>
      </c>
    </row>
    <row r="140" spans="2:12" x14ac:dyDescent="0.3">
      <c r="B140">
        <v>93</v>
      </c>
      <c r="C140" s="7">
        <f t="shared" si="16"/>
        <v>12.567852600000002</v>
      </c>
      <c r="D140" s="7">
        <f t="shared" si="16"/>
        <v>10.054282080000002</v>
      </c>
      <c r="E140" s="7">
        <f t="shared" si="16"/>
        <v>7.540711560000001</v>
      </c>
      <c r="F140" s="7">
        <f t="shared" si="16"/>
        <v>5.0271410400000009</v>
      </c>
      <c r="G140" s="7">
        <f t="shared" si="16"/>
        <v>2.5135705200000005</v>
      </c>
      <c r="H140" s="7">
        <f t="shared" si="16"/>
        <v>12.567852600000002</v>
      </c>
      <c r="I140" s="7">
        <f t="shared" si="16"/>
        <v>12.567852600000002</v>
      </c>
      <c r="J140" s="7">
        <f t="shared" si="16"/>
        <v>12.567852600000002</v>
      </c>
      <c r="K140" s="7">
        <f t="shared" si="16"/>
        <v>12.567852600000002</v>
      </c>
      <c r="L140" s="7">
        <f t="shared" si="16"/>
        <v>12.567852600000002</v>
      </c>
    </row>
    <row r="141" spans="2:12" x14ac:dyDescent="0.3">
      <c r="B141">
        <v>94</v>
      </c>
      <c r="C141" s="7">
        <f t="shared" si="16"/>
        <v>12.7029908</v>
      </c>
      <c r="D141" s="7">
        <f t="shared" si="16"/>
        <v>10.16239264</v>
      </c>
      <c r="E141" s="7">
        <f t="shared" si="16"/>
        <v>7.6217944800000001</v>
      </c>
      <c r="F141" s="7">
        <f t="shared" si="16"/>
        <v>5.0811963200000001</v>
      </c>
      <c r="G141" s="7">
        <f t="shared" si="16"/>
        <v>2.54059816</v>
      </c>
      <c r="H141" s="7">
        <f t="shared" si="16"/>
        <v>12.7029908</v>
      </c>
      <c r="I141" s="7">
        <f t="shared" si="16"/>
        <v>12.7029908</v>
      </c>
      <c r="J141" s="7">
        <f t="shared" si="16"/>
        <v>12.7029908</v>
      </c>
      <c r="K141" s="7">
        <f t="shared" si="16"/>
        <v>12.7029908</v>
      </c>
      <c r="L141" s="7">
        <f t="shared" si="16"/>
        <v>12.7029908</v>
      </c>
    </row>
    <row r="142" spans="2:12" x14ac:dyDescent="0.3">
      <c r="B142">
        <v>95</v>
      </c>
      <c r="C142" s="7">
        <f t="shared" si="16"/>
        <v>12.838129</v>
      </c>
      <c r="D142" s="7">
        <f t="shared" si="16"/>
        <v>10.2705032</v>
      </c>
      <c r="E142" s="7">
        <f t="shared" si="16"/>
        <v>7.7028774000000002</v>
      </c>
      <c r="F142" s="7">
        <f t="shared" si="16"/>
        <v>5.1352516000000001</v>
      </c>
      <c r="G142" s="7">
        <f t="shared" si="16"/>
        <v>2.5676258000000001</v>
      </c>
      <c r="H142" s="7">
        <f t="shared" si="16"/>
        <v>12.838129</v>
      </c>
      <c r="I142" s="7">
        <f t="shared" si="16"/>
        <v>12.838129</v>
      </c>
      <c r="J142" s="7">
        <f t="shared" si="16"/>
        <v>12.838129</v>
      </c>
      <c r="K142" s="7">
        <f t="shared" si="16"/>
        <v>12.838129</v>
      </c>
      <c r="L142" s="7">
        <f t="shared" si="16"/>
        <v>12.838129</v>
      </c>
    </row>
    <row r="143" spans="2:12" x14ac:dyDescent="0.3">
      <c r="B143">
        <v>96</v>
      </c>
      <c r="C143" s="7">
        <f t="shared" ref="C143:L153" si="17">$B143/100*C$35*$E$21</f>
        <v>12.9732672</v>
      </c>
      <c r="D143" s="7">
        <f t="shared" si="17"/>
        <v>10.37861376</v>
      </c>
      <c r="E143" s="7">
        <f t="shared" si="17"/>
        <v>7.7839603200000003</v>
      </c>
      <c r="F143" s="7">
        <f t="shared" si="17"/>
        <v>5.1893068800000002</v>
      </c>
      <c r="G143" s="7">
        <f t="shared" si="17"/>
        <v>2.5946534400000001</v>
      </c>
      <c r="H143" s="7">
        <f t="shared" si="17"/>
        <v>12.9732672</v>
      </c>
      <c r="I143" s="7">
        <f t="shared" si="17"/>
        <v>12.9732672</v>
      </c>
      <c r="J143" s="7">
        <f t="shared" si="17"/>
        <v>12.9732672</v>
      </c>
      <c r="K143" s="7">
        <f t="shared" si="17"/>
        <v>12.9732672</v>
      </c>
      <c r="L143" s="7">
        <f t="shared" si="17"/>
        <v>12.9732672</v>
      </c>
    </row>
    <row r="144" spans="2:12" x14ac:dyDescent="0.3">
      <c r="B144">
        <v>97</v>
      </c>
      <c r="C144" s="7">
        <f t="shared" si="17"/>
        <v>13.108405400000001</v>
      </c>
      <c r="D144" s="7">
        <f t="shared" si="17"/>
        <v>10.48672432</v>
      </c>
      <c r="E144" s="7">
        <f t="shared" si="17"/>
        <v>7.8650432400000003</v>
      </c>
      <c r="F144" s="7">
        <f t="shared" si="17"/>
        <v>5.2433621600000002</v>
      </c>
      <c r="G144" s="7">
        <f t="shared" si="17"/>
        <v>2.6216810800000001</v>
      </c>
      <c r="H144" s="7">
        <f t="shared" si="17"/>
        <v>13.108405400000001</v>
      </c>
      <c r="I144" s="7">
        <f t="shared" si="17"/>
        <v>13.108405400000001</v>
      </c>
      <c r="J144" s="7">
        <f t="shared" si="17"/>
        <v>13.108405400000001</v>
      </c>
      <c r="K144" s="7">
        <f t="shared" si="17"/>
        <v>13.108405400000001</v>
      </c>
      <c r="L144" s="7">
        <f t="shared" si="17"/>
        <v>13.108405400000001</v>
      </c>
    </row>
    <row r="145" spans="1:12" x14ac:dyDescent="0.3">
      <c r="B145">
        <v>98</v>
      </c>
      <c r="C145" s="7">
        <f t="shared" si="17"/>
        <v>13.243543600000001</v>
      </c>
      <c r="D145" s="7">
        <f t="shared" si="17"/>
        <v>10.594834880000001</v>
      </c>
      <c r="E145" s="7">
        <f t="shared" si="17"/>
        <v>7.9461261600000004</v>
      </c>
      <c r="F145" s="7">
        <f t="shared" si="17"/>
        <v>5.2974174400000003</v>
      </c>
      <c r="G145" s="7">
        <f t="shared" si="17"/>
        <v>2.6487087200000001</v>
      </c>
      <c r="H145" s="7">
        <f t="shared" si="17"/>
        <v>13.243543600000001</v>
      </c>
      <c r="I145" s="7">
        <f t="shared" si="17"/>
        <v>13.243543600000001</v>
      </c>
      <c r="J145" s="7">
        <f t="shared" si="17"/>
        <v>13.243543600000001</v>
      </c>
      <c r="K145" s="7">
        <f t="shared" si="17"/>
        <v>13.243543600000001</v>
      </c>
      <c r="L145" s="7">
        <f t="shared" si="17"/>
        <v>13.243543600000001</v>
      </c>
    </row>
    <row r="146" spans="1:12" x14ac:dyDescent="0.3">
      <c r="B146">
        <v>99</v>
      </c>
      <c r="C146" s="7">
        <f t="shared" si="17"/>
        <v>13.378681800000001</v>
      </c>
      <c r="D146" s="7">
        <f t="shared" si="17"/>
        <v>10.702945440000001</v>
      </c>
      <c r="E146" s="7">
        <f t="shared" si="17"/>
        <v>8.0272090800000004</v>
      </c>
      <c r="F146" s="7">
        <f t="shared" si="17"/>
        <v>5.3514727200000003</v>
      </c>
      <c r="G146" s="7">
        <f t="shared" si="17"/>
        <v>2.6757363600000001</v>
      </c>
      <c r="H146" s="7">
        <f t="shared" si="17"/>
        <v>13.378681800000001</v>
      </c>
      <c r="I146" s="7">
        <f t="shared" si="17"/>
        <v>13.378681800000001</v>
      </c>
      <c r="J146" s="7">
        <f t="shared" si="17"/>
        <v>13.378681800000001</v>
      </c>
      <c r="K146" s="7">
        <f t="shared" si="17"/>
        <v>13.378681800000001</v>
      </c>
      <c r="L146" s="7">
        <f t="shared" si="17"/>
        <v>13.378681800000001</v>
      </c>
    </row>
    <row r="147" spans="1:12" x14ac:dyDescent="0.3">
      <c r="B147">
        <v>100</v>
      </c>
      <c r="C147" s="7">
        <f t="shared" si="17"/>
        <v>13.513820000000001</v>
      </c>
      <c r="D147" s="7">
        <f t="shared" si="17"/>
        <v>10.811056000000001</v>
      </c>
      <c r="E147" s="7">
        <f t="shared" si="17"/>
        <v>8.1082920000000005</v>
      </c>
      <c r="F147" s="7">
        <f t="shared" si="17"/>
        <v>5.4055280000000003</v>
      </c>
      <c r="G147" s="7">
        <f t="shared" si="17"/>
        <v>2.7027640000000002</v>
      </c>
      <c r="H147" s="7">
        <f t="shared" si="17"/>
        <v>13.513820000000001</v>
      </c>
      <c r="I147" s="7">
        <f t="shared" si="17"/>
        <v>13.513820000000001</v>
      </c>
      <c r="J147" s="7">
        <f t="shared" si="17"/>
        <v>13.513820000000001</v>
      </c>
      <c r="K147" s="7">
        <f t="shared" si="17"/>
        <v>13.513820000000001</v>
      </c>
      <c r="L147" s="7">
        <f t="shared" si="17"/>
        <v>13.513820000000001</v>
      </c>
    </row>
    <row r="148" spans="1:12" x14ac:dyDescent="0.3">
      <c r="C148" s="7"/>
      <c r="D148" s="7"/>
      <c r="E148" s="7"/>
      <c r="F148" s="7"/>
      <c r="G148" s="7"/>
      <c r="H148" s="7"/>
      <c r="I148" s="7"/>
      <c r="J148" s="7"/>
      <c r="K148" s="7"/>
    </row>
    <row r="149" spans="1:12" x14ac:dyDescent="0.3">
      <c r="A149" t="s">
        <v>59</v>
      </c>
      <c r="B149">
        <v>0</v>
      </c>
      <c r="C149" s="7">
        <f t="shared" ref="C149:L164" si="18">$E$15*(C$37*LN((C$46-C47/$E$16)/($E$22*C$40)+1)-$E$23*(C47/$E$16))</f>
        <v>127.97223314597314</v>
      </c>
      <c r="D149" s="7">
        <f t="shared" si="18"/>
        <v>126.88867094329991</v>
      </c>
      <c r="E149" s="7">
        <f t="shared" si="18"/>
        <v>125.49171630016012</v>
      </c>
      <c r="F149" s="7">
        <f t="shared" si="18"/>
        <v>123.52281931407292</v>
      </c>
      <c r="G149" s="7">
        <f t="shared" si="18"/>
        <v>120.15696768486768</v>
      </c>
      <c r="H149" s="7">
        <f t="shared" si="18"/>
        <v>110.69921568505598</v>
      </c>
      <c r="I149" s="7">
        <f t="shared" si="18"/>
        <v>118.41413959914756</v>
      </c>
      <c r="J149" s="7">
        <f t="shared" si="18"/>
        <v>127.97223314597314</v>
      </c>
      <c r="K149" s="7">
        <f t="shared" si="18"/>
        <v>137.42778247001044</v>
      </c>
      <c r="L149" s="7">
        <f t="shared" si="18"/>
        <v>127.59182106451343</v>
      </c>
    </row>
    <row r="150" spans="1:12" x14ac:dyDescent="0.3">
      <c r="B150">
        <v>1</v>
      </c>
      <c r="C150" s="7">
        <f t="shared" si="18"/>
        <v>127.80065025764587</v>
      </c>
      <c r="D150" s="7">
        <f t="shared" si="18"/>
        <v>126.74164395258185</v>
      </c>
      <c r="E150" s="7">
        <f t="shared" si="18"/>
        <v>125.36924520705129</v>
      </c>
      <c r="F150" s="7">
        <f t="shared" si="18"/>
        <v>123.42490411857334</v>
      </c>
      <c r="G150" s="7">
        <f t="shared" si="18"/>
        <v>120.08360838697773</v>
      </c>
      <c r="H150" s="7">
        <f t="shared" si="18"/>
        <v>110.52026686357203</v>
      </c>
      <c r="I150" s="7">
        <f t="shared" si="18"/>
        <v>118.2384645256638</v>
      </c>
      <c r="J150" s="7">
        <f t="shared" si="18"/>
        <v>127.80065025764587</v>
      </c>
      <c r="K150" s="7">
        <f t="shared" si="18"/>
        <v>137.26029176684833</v>
      </c>
      <c r="L150" s="7">
        <f t="shared" si="18"/>
        <v>127.42007448877956</v>
      </c>
    </row>
    <row r="151" spans="1:12" x14ac:dyDescent="0.3">
      <c r="B151">
        <v>2</v>
      </c>
      <c r="C151" s="7">
        <f t="shared" si="18"/>
        <v>127.6285718948573</v>
      </c>
      <c r="D151" s="7">
        <f t="shared" si="18"/>
        <v>126.59412148740246</v>
      </c>
      <c r="E151" s="7">
        <f t="shared" si="18"/>
        <v>125.24627863948115</v>
      </c>
      <c r="F151" s="7">
        <f t="shared" si="18"/>
        <v>123.3264934486125</v>
      </c>
      <c r="G151" s="7">
        <f t="shared" si="18"/>
        <v>120.00975361462642</v>
      </c>
      <c r="H151" s="7">
        <f t="shared" si="18"/>
        <v>110.34074778530277</v>
      </c>
      <c r="I151" s="7">
        <f t="shared" si="18"/>
        <v>118.06225243198175</v>
      </c>
      <c r="J151" s="7">
        <f t="shared" si="18"/>
        <v>127.6285718948573</v>
      </c>
      <c r="K151" s="7">
        <f t="shared" si="18"/>
        <v>137.09234713496207</v>
      </c>
      <c r="L151" s="7">
        <f t="shared" si="18"/>
        <v>127.24783077675494</v>
      </c>
    </row>
    <row r="152" spans="1:12" x14ac:dyDescent="0.3">
      <c r="B152">
        <v>3</v>
      </c>
      <c r="C152" s="7">
        <f t="shared" si="18"/>
        <v>127.45598789376415</v>
      </c>
      <c r="D152" s="7">
        <f t="shared" si="18"/>
        <v>126.44609338391848</v>
      </c>
      <c r="E152" s="7">
        <f t="shared" si="18"/>
        <v>125.12280643360637</v>
      </c>
      <c r="F152" s="7">
        <f t="shared" si="18"/>
        <v>123.22757714034702</v>
      </c>
      <c r="G152" s="7">
        <f t="shared" si="18"/>
        <v>119.93539320397059</v>
      </c>
      <c r="H152" s="7">
        <f t="shared" si="18"/>
        <v>110.16064675236861</v>
      </c>
      <c r="I152" s="7">
        <f t="shared" si="18"/>
        <v>117.88549230201572</v>
      </c>
      <c r="J152" s="7">
        <f t="shared" si="18"/>
        <v>127.45598789376415</v>
      </c>
      <c r="K152" s="7">
        <f t="shared" si="18"/>
        <v>136.92393926275079</v>
      </c>
      <c r="L152" s="7">
        <f t="shared" si="18"/>
        <v>127.07507973050653</v>
      </c>
    </row>
    <row r="153" spans="1:12" x14ac:dyDescent="0.3">
      <c r="B153">
        <v>4</v>
      </c>
      <c r="C153" s="7">
        <f t="shared" si="18"/>
        <v>127.28288777453754</v>
      </c>
      <c r="D153" s="7">
        <f t="shared" si="18"/>
        <v>126.29754916230105</v>
      </c>
      <c r="E153" s="7">
        <f t="shared" si="18"/>
        <v>124.99881810959818</v>
      </c>
      <c r="F153" s="7">
        <f t="shared" si="18"/>
        <v>123.12814471394815</v>
      </c>
      <c r="G153" s="7">
        <f t="shared" si="18"/>
        <v>119.8605166751813</v>
      </c>
      <c r="H153" s="7">
        <f t="shared" si="18"/>
        <v>109.97995170321251</v>
      </c>
      <c r="I153" s="7">
        <f t="shared" si="18"/>
        <v>117.70817277719887</v>
      </c>
      <c r="J153" s="7">
        <f t="shared" si="18"/>
        <v>127.28288777453754</v>
      </c>
      <c r="K153" s="7">
        <f t="shared" si="18"/>
        <v>136.75505854912362</v>
      </c>
      <c r="L153" s="7">
        <f t="shared" si="18"/>
        <v>126.90181083505597</v>
      </c>
    </row>
    <row r="154" spans="1:12" x14ac:dyDescent="0.3">
      <c r="B154">
        <v>5</v>
      </c>
      <c r="C154" s="7">
        <f t="shared" si="18"/>
        <v>127.10926072812752</v>
      </c>
      <c r="D154" s="7">
        <f t="shared" si="18"/>
        <v>126.14847801350025</v>
      </c>
      <c r="E154" s="7">
        <f t="shared" si="18"/>
        <v>124.87430285840658</v>
      </c>
      <c r="F154" s="7">
        <f t="shared" si="18"/>
        <v>123.02818536036585</v>
      </c>
      <c r="G154" s="7">
        <f t="shared" si="18"/>
        <v>119.78511321920864</v>
      </c>
      <c r="H154" s="7">
        <f t="shared" si="18"/>
        <v>109.79865019736664</v>
      </c>
      <c r="I154" s="7">
        <f t="shared" si="18"/>
        <v>117.53028214213798</v>
      </c>
      <c r="J154" s="7">
        <f t="shared" si="18"/>
        <v>127.10926072812752</v>
      </c>
      <c r="K154" s="7">
        <f t="shared" si="18"/>
        <v>136.58569509137385</v>
      </c>
      <c r="L154" s="7">
        <f t="shared" si="18"/>
        <v>126.72801324509959</v>
      </c>
    </row>
    <row r="155" spans="1:12" x14ac:dyDescent="0.3">
      <c r="B155">
        <v>6</v>
      </c>
      <c r="C155" s="7">
        <f t="shared" si="18"/>
        <v>126.93509560232708</v>
      </c>
      <c r="D155" s="7">
        <f t="shared" si="18"/>
        <v>125.99886878530903</v>
      </c>
      <c r="E155" s="7">
        <f t="shared" si="18"/>
        <v>124.74924952782462</v>
      </c>
      <c r="F155" s="7">
        <f t="shared" si="18"/>
        <v>122.92768792739318</v>
      </c>
      <c r="G155" s="7">
        <f t="shared" si="18"/>
        <v>119.70917168384558</v>
      </c>
      <c r="H155" s="7">
        <f t="shared" si="18"/>
        <v>109.61672939941329</v>
      </c>
      <c r="I155" s="7">
        <f t="shared" si="18"/>
        <v>117.35180830950895</v>
      </c>
      <c r="J155" s="7">
        <f t="shared" si="18"/>
        <v>126.93509560232708</v>
      </c>
      <c r="K155" s="7">
        <f t="shared" si="18"/>
        <v>136.41583867241167</v>
      </c>
      <c r="L155" s="7">
        <f t="shared" si="18"/>
        <v>126.55367577102565</v>
      </c>
    </row>
    <row r="156" spans="1:12" x14ac:dyDescent="0.3">
      <c r="B156">
        <v>7</v>
      </c>
      <c r="C156" s="7">
        <f t="shared" si="18"/>
        <v>126.76038088709099</v>
      </c>
      <c r="D156" s="7">
        <f t="shared" si="18"/>
        <v>125.84870996768211</v>
      </c>
      <c r="E156" s="7">
        <f t="shared" si="18"/>
        <v>124.6236466078069</v>
      </c>
      <c r="F156" s="7">
        <f t="shared" si="18"/>
        <v>122.82664090498479</v>
      </c>
      <c r="G156" s="7">
        <f t="shared" si="18"/>
        <v>119.63268055904688</v>
      </c>
      <c r="H156" s="7">
        <f t="shared" si="18"/>
        <v>109.43417606208766</v>
      </c>
      <c r="I156" s="7">
        <f t="shared" si="18"/>
        <v>117.17273880414444</v>
      </c>
      <c r="J156" s="7">
        <f t="shared" si="18"/>
        <v>126.76038088709099</v>
      </c>
      <c r="K156" s="7">
        <f t="shared" si="18"/>
        <v>136.24547874731377</v>
      </c>
      <c r="L156" s="7">
        <f t="shared" si="18"/>
        <v>126.37878686418405</v>
      </c>
    </row>
    <row r="157" spans="1:12" x14ac:dyDescent="0.3">
      <c r="B157">
        <v>8</v>
      </c>
      <c r="C157" s="7">
        <f t="shared" si="18"/>
        <v>126.58510469906084</v>
      </c>
      <c r="D157" s="7">
        <f t="shared" si="18"/>
        <v>125.69798967726115</v>
      </c>
      <c r="E157" s="7">
        <f t="shared" si="18"/>
        <v>124.49748221499519</v>
      </c>
      <c r="F157" s="7">
        <f t="shared" si="18"/>
        <v>122.72503240978237</v>
      </c>
      <c r="G157" s="7">
        <f t="shared" si="18"/>
        <v>119.55562796145411</v>
      </c>
      <c r="H157" s="7">
        <f t="shared" si="18"/>
        <v>109.25097650846735</v>
      </c>
      <c r="I157" s="7">
        <f t="shared" si="18"/>
        <v>116.99306074626163</v>
      </c>
      <c r="J157" s="7">
        <f t="shared" si="18"/>
        <v>126.58510469906084</v>
      </c>
      <c r="K157" s="7">
        <f t="shared" si="18"/>
        <v>136.07460442914629</v>
      </c>
      <c r="L157" s="7">
        <f t="shared" si="18"/>
        <v>126.20333460135943</v>
      </c>
    </row>
    <row r="158" spans="1:12" x14ac:dyDescent="0.3">
      <c r="B158">
        <v>9</v>
      </c>
      <c r="C158" s="7">
        <f t="shared" si="18"/>
        <v>126.40925476524473</v>
      </c>
      <c r="D158" s="7">
        <f t="shared" si="18"/>
        <v>125.54669564105423</v>
      </c>
      <c r="E158" s="7">
        <f t="shared" si="18"/>
        <v>124.3707440763975</v>
      </c>
      <c r="F158" s="7">
        <f t="shared" si="18"/>
        <v>122.62285016879403</v>
      </c>
      <c r="G158" s="7">
        <f t="shared" si="18"/>
        <v>119.47800161807541</v>
      </c>
      <c r="H158" s="7">
        <f t="shared" si="18"/>
        <v>109.06711661318889</v>
      </c>
      <c r="I158" s="7">
        <f t="shared" si="18"/>
        <v>116.81276083377318</v>
      </c>
      <c r="J158" s="7">
        <f t="shared" si="18"/>
        <v>126.40925476524473</v>
      </c>
      <c r="K158" s="7">
        <f t="shared" si="18"/>
        <v>135.90320447401271</v>
      </c>
      <c r="L158" s="7">
        <f t="shared" si="18"/>
        <v>126.02730666839604</v>
      </c>
    </row>
    <row r="159" spans="1:12" x14ac:dyDescent="0.3">
      <c r="B159">
        <v>10</v>
      </c>
      <c r="C159" s="7">
        <f t="shared" si="18"/>
        <v>126.23281840579493</v>
      </c>
      <c r="D159" s="7">
        <f t="shared" si="18"/>
        <v>125.39481517921365</v>
      </c>
      <c r="E159" s="7">
        <f t="shared" si="18"/>
        <v>124.24341951216613</v>
      </c>
      <c r="F159" s="7">
        <f t="shared" si="18"/>
        <v>122.52008150217198</v>
      </c>
      <c r="G159" s="7">
        <f t="shared" si="18"/>
        <v>119.39978884906303</v>
      </c>
      <c r="H159" s="7">
        <f t="shared" si="18"/>
        <v>108.88258178262585</v>
      </c>
      <c r="I159" s="7">
        <f t="shared" si="18"/>
        <v>116.63182532362097</v>
      </c>
      <c r="J159" s="7">
        <f t="shared" si="18"/>
        <v>126.23281840579493</v>
      </c>
      <c r="K159" s="7">
        <f t="shared" si="18"/>
        <v>135.73126726527579</v>
      </c>
      <c r="L159" s="7">
        <f t="shared" si="18"/>
        <v>125.85069034291776</v>
      </c>
    </row>
    <row r="160" spans="1:12" x14ac:dyDescent="0.3">
      <c r="B160">
        <v>11</v>
      </c>
      <c r="C160" s="7">
        <f t="shared" si="18"/>
        <v>126.05578251582351</v>
      </c>
      <c r="D160" s="7">
        <f t="shared" si="18"/>
        <v>125.24233518685141</v>
      </c>
      <c r="E160" s="7">
        <f t="shared" si="18"/>
        <v>124.1154954174131</v>
      </c>
      <c r="F160" s="7">
        <f t="shared" si="18"/>
        <v>122.41671330502828</v>
      </c>
      <c r="G160" s="7">
        <f t="shared" si="18"/>
        <v>119.32097654952904</v>
      </c>
      <c r="H160" s="7">
        <f t="shared" si="18"/>
        <v>108.69735693395998</v>
      </c>
      <c r="I160" s="7">
        <f t="shared" si="18"/>
        <v>116.4502400120668</v>
      </c>
      <c r="J160" s="7">
        <f t="shared" si="18"/>
        <v>126.05578251582351</v>
      </c>
      <c r="K160" s="7">
        <f t="shared" si="18"/>
        <v>135.55878079689782</v>
      </c>
      <c r="L160" s="7">
        <f t="shared" si="18"/>
        <v>125.67347247608259</v>
      </c>
    </row>
    <row r="161" spans="2:12" x14ac:dyDescent="0.3">
      <c r="B161">
        <v>12</v>
      </c>
      <c r="C161" s="7">
        <f t="shared" si="18"/>
        <v>125.87813354619036</v>
      </c>
      <c r="D161" s="7">
        <f t="shared" si="18"/>
        <v>125.08924211482748</v>
      </c>
      <c r="E161" s="7">
        <f t="shared" si="18"/>
        <v>123.98695824299843</v>
      </c>
      <c r="F161" s="7">
        <f t="shared" si="18"/>
        <v>122.31273202822297</v>
      </c>
      <c r="G161" s="7">
        <f t="shared" si="18"/>
        <v>119.24155117033341</v>
      </c>
      <c r="H161" s="7">
        <f t="shared" si="18"/>
        <v>108.51142647306965</v>
      </c>
      <c r="I161" s="7">
        <f t="shared" si="18"/>
        <v>116.26799021386965</v>
      </c>
      <c r="J161" s="7">
        <f t="shared" si="18"/>
        <v>125.87813354619036</v>
      </c>
      <c r="K161" s="7">
        <f t="shared" si="18"/>
        <v>135.38573265583966</v>
      </c>
      <c r="L161" s="7">
        <f t="shared" si="18"/>
        <v>125.49563947330654</v>
      </c>
    </row>
    <row r="162" spans="2:12" x14ac:dyDescent="0.3">
      <c r="B162">
        <v>13</v>
      </c>
      <c r="C162" s="7">
        <f t="shared" si="18"/>
        <v>125.6998574831937</v>
      </c>
      <c r="D162" s="7">
        <f t="shared" si="18"/>
        <v>124.93552194944004</v>
      </c>
      <c r="E162" s="7">
        <f t="shared" si="18"/>
        <v>123.85779397522023</v>
      </c>
      <c r="F162" s="7">
        <f t="shared" si="18"/>
        <v>122.20812365805408</v>
      </c>
      <c r="G162" s="7">
        <f t="shared" si="18"/>
        <v>119.16149869777422</v>
      </c>
      <c r="H162" s="7">
        <f t="shared" si="18"/>
        <v>108.32477427115474</v>
      </c>
      <c r="I162" s="7">
        <f t="shared" si="18"/>
        <v>116.08506074027304</v>
      </c>
      <c r="J162" s="7">
        <f t="shared" si="18"/>
        <v>125.6998574831937</v>
      </c>
      <c r="K162" s="7">
        <f t="shared" si="18"/>
        <v>135.21211000345414</v>
      </c>
      <c r="L162" s="7">
        <f t="shared" si="18"/>
        <v>125.31717727388545</v>
      </c>
    </row>
    <row r="163" spans="2:12" x14ac:dyDescent="0.3">
      <c r="B163">
        <v>14</v>
      </c>
      <c r="C163" s="7">
        <f t="shared" si="18"/>
        <v>125.52093982708601</v>
      </c>
      <c r="D163" s="7">
        <f t="shared" si="18"/>
        <v>124.78116019094153</v>
      </c>
      <c r="E163" s="7">
        <f t="shared" si="18"/>
        <v>123.72798811433096</v>
      </c>
      <c r="F163" s="7">
        <f t="shared" si="18"/>
        <v>122.10287369477413</v>
      </c>
      <c r="G163" s="7">
        <f t="shared" si="18"/>
        <v>119.08080463210405</v>
      </c>
      <c r="H163" s="7">
        <f t="shared" si="18"/>
        <v>108.13738364001028</v>
      </c>
      <c r="I163" s="7">
        <f t="shared" si="18"/>
        <v>115.90143587571968</v>
      </c>
      <c r="J163" s="7">
        <f t="shared" si="18"/>
        <v>125.52093982708601</v>
      </c>
      <c r="K163" s="7">
        <f t="shared" si="18"/>
        <v>135.03789955580351</v>
      </c>
      <c r="L163" s="7">
        <f t="shared" si="18"/>
        <v>125.1380713294395</v>
      </c>
    </row>
    <row r="164" spans="2:12" x14ac:dyDescent="0.3">
      <c r="B164">
        <v>15</v>
      </c>
      <c r="C164" s="7">
        <f t="shared" si="18"/>
        <v>125.34136556933392</v>
      </c>
      <c r="D164" s="7">
        <f t="shared" si="18"/>
        <v>124.62614183079864</v>
      </c>
      <c r="E164" s="7">
        <f t="shared" si="18"/>
        <v>123.59752565179731</v>
      </c>
      <c r="F164" s="7">
        <f t="shared" si="18"/>
        <v>121.99696712984984</v>
      </c>
      <c r="G164" s="7">
        <f t="shared" si="18"/>
        <v>118.99945396478948</v>
      </c>
      <c r="H164" s="7">
        <f t="shared" si="18"/>
        <v>107.94923730585403</v>
      </c>
      <c r="I164" s="7">
        <f t="shared" si="18"/>
        <v>115.71709935320453</v>
      </c>
      <c r="J164" s="7">
        <f t="shared" si="18"/>
        <v>125.34136556933392</v>
      </c>
      <c r="K164" s="7">
        <f t="shared" si="18"/>
        <v>134.86308756282619</v>
      </c>
      <c r="L164" s="7">
        <f t="shared" si="18"/>
        <v>124.95830658109645</v>
      </c>
    </row>
    <row r="165" spans="2:12" x14ac:dyDescent="0.3">
      <c r="B165">
        <v>16</v>
      </c>
      <c r="C165" s="7">
        <f t="shared" ref="C165:L180" si="19">$E$15*(C$37*LN((C$46-C63/$E$16)/($E$22*C$40)+1)-$E$23*(C63/$E$16))</f>
        <v>125.16111916853222</v>
      </c>
      <c r="D165" s="7">
        <f t="shared" si="19"/>
        <v>124.47045132760617</v>
      </c>
      <c r="E165" s="7">
        <f t="shared" si="19"/>
        <v>123.46639104621408</v>
      </c>
      <c r="F165" s="7">
        <f t="shared" si="19"/>
        <v>121.89038842187598</v>
      </c>
      <c r="G165" s="7">
        <f t="shared" si="19"/>
        <v>118.91743115442534</v>
      </c>
      <c r="H165" s="7">
        <f t="shared" si="19"/>
        <v>107.76031738160515</v>
      </c>
      <c r="I165" s="7">
        <f t="shared" si="19"/>
        <v>115.53203432816922</v>
      </c>
      <c r="J165" s="7">
        <f t="shared" si="19"/>
        <v>125.16111916853222</v>
      </c>
      <c r="K165" s="7">
        <f t="shared" si="19"/>
        <v>134.68765978627013</v>
      </c>
      <c r="L165" s="7">
        <f t="shared" si="19"/>
        <v>124.77786743532498</v>
      </c>
    </row>
    <row r="166" spans="2:12" x14ac:dyDescent="0.3">
      <c r="B166">
        <v>17</v>
      </c>
      <c r="C166" s="7">
        <f t="shared" si="19"/>
        <v>124.98018452487577</v>
      </c>
      <c r="D166" s="7">
        <f t="shared" si="19"/>
        <v>124.3140725815589</v>
      </c>
      <c r="E166" s="7">
        <f t="shared" si="19"/>
        <v>123.33456819777608</v>
      </c>
      <c r="F166" s="7">
        <f t="shared" si="19"/>
        <v>121.78312147104729</v>
      </c>
      <c r="G166" s="7">
        <f t="shared" si="19"/>
        <v>118.83472010120647</v>
      </c>
      <c r="H166" s="7">
        <f t="shared" si="19"/>
        <v>107.57060533750312</v>
      </c>
      <c r="I166" s="7">
        <f t="shared" si="19"/>
        <v>115.34622335083326</v>
      </c>
      <c r="J166" s="7">
        <f t="shared" si="19"/>
        <v>124.98018452487577</v>
      </c>
      <c r="K166" s="7">
        <f t="shared" si="19"/>
        <v>134.51160147630543</v>
      </c>
      <c r="L166" s="7">
        <f t="shared" si="19"/>
        <v>124.59673773832087</v>
      </c>
    </row>
    <row r="167" spans="2:12" x14ac:dyDescent="0.3">
      <c r="B167">
        <v>18</v>
      </c>
      <c r="C167" s="7">
        <f t="shared" si="19"/>
        <v>124.79854495308365</v>
      </c>
      <c r="D167" s="7">
        <f t="shared" si="19"/>
        <v>124.15698890737602</v>
      </c>
      <c r="E167" s="7">
        <f t="shared" si="19"/>
        <v>123.20204042120244</v>
      </c>
      <c r="F167" s="7">
        <f t="shared" si="19"/>
        <v>121.675149592083</v>
      </c>
      <c r="G167" s="7">
        <f t="shared" si="19"/>
        <v>118.75130411985197</v>
      </c>
      <c r="H167" s="7">
        <f t="shared" si="19"/>
        <v>107.38008196994549</v>
      </c>
      <c r="I167" s="7">
        <f t="shared" si="19"/>
        <v>115.15964833684818</v>
      </c>
      <c r="J167" s="7">
        <f t="shared" si="19"/>
        <v>124.79854495308365</v>
      </c>
      <c r="K167" s="7">
        <f t="shared" si="19"/>
        <v>134.33489734671889</v>
      </c>
      <c r="L167" s="7">
        <f t="shared" si="19"/>
        <v>124.41490074884057</v>
      </c>
    </row>
    <row r="168" spans="2:12" x14ac:dyDescent="0.3">
      <c r="B168">
        <v>19</v>
      </c>
      <c r="C168" s="7">
        <f t="shared" si="19"/>
        <v>124.61618315366266</v>
      </c>
      <c r="D168" s="7">
        <f t="shared" si="19"/>
        <v>123.99918300556421</v>
      </c>
      <c r="E168" s="7">
        <f t="shared" si="19"/>
        <v>123.06879041699992</v>
      </c>
      <c r="F168" s="7">
        <f t="shared" si="19"/>
        <v>121.56645548548985</v>
      </c>
      <c r="G168" s="7">
        <f t="shared" si="19"/>
        <v>118.66716591086858</v>
      </c>
      <c r="H168" s="7">
        <f t="shared" si="19"/>
        <v>107.18872736841391</v>
      </c>
      <c r="I168" s="7">
        <f t="shared" si="19"/>
        <v>114.97229053615109</v>
      </c>
      <c r="J168" s="7">
        <f t="shared" si="19"/>
        <v>124.61618315366266</v>
      </c>
      <c r="K168" s="7">
        <f t="shared" si="19"/>
        <v>134.15753154858692</v>
      </c>
      <c r="L168" s="7">
        <f t="shared" si="19"/>
        <v>124.23233910936808</v>
      </c>
    </row>
    <row r="169" spans="2:12" x14ac:dyDescent="0.3">
      <c r="B169">
        <v>20</v>
      </c>
      <c r="C169" s="7">
        <f t="shared" si="19"/>
        <v>124.43308118238538</v>
      </c>
      <c r="D169" s="7">
        <f t="shared" si="19"/>
        <v>123.84063693189614</v>
      </c>
      <c r="E169" s="7">
        <f t="shared" si="19"/>
        <v>122.9348002409411</v>
      </c>
      <c r="F169" s="7">
        <f t="shared" si="19"/>
        <v>121.4570212070404</v>
      </c>
      <c r="G169" s="7">
        <f t="shared" si="19"/>
        <v>118.58228753002898</v>
      </c>
      <c r="H169" s="7">
        <f t="shared" si="19"/>
        <v>106.99652088034557</v>
      </c>
      <c r="I169" s="7">
        <f t="shared" si="19"/>
        <v>114.7841304998838</v>
      </c>
      <c r="J169" s="7">
        <f t="shared" si="19"/>
        <v>124.43308118238538</v>
      </c>
      <c r="K169" s="7">
        <f t="shared" si="19"/>
        <v>133.97948764231285</v>
      </c>
      <c r="L169" s="7">
        <f t="shared" si="19"/>
        <v>124.04903481549069</v>
      </c>
    </row>
    <row r="170" spans="2:12" x14ac:dyDescent="0.3">
      <c r="B170">
        <v>21</v>
      </c>
      <c r="C170" s="7">
        <f t="shared" si="19"/>
        <v>124.24922041784865</v>
      </c>
      <c r="D170" s="7">
        <f t="shared" si="19"/>
        <v>123.68133206496864</v>
      </c>
      <c r="E170" s="7">
        <f t="shared" si="19"/>
        <v>122.80005127162286</v>
      </c>
      <c r="F170" s="7">
        <f t="shared" si="19"/>
        <v>121.34682813533151</v>
      </c>
      <c r="G170" s="7">
        <f t="shared" si="19"/>
        <v>118.49665035592994</v>
      </c>
      <c r="H170" s="7">
        <f t="shared" si="19"/>
        <v>106.80344107379543</v>
      </c>
      <c r="I170" s="7">
        <f t="shared" si="19"/>
        <v>114.59514804523081</v>
      </c>
      <c r="J170" s="7">
        <f t="shared" si="19"/>
        <v>124.24922041784865</v>
      </c>
      <c r="K170" s="7">
        <f t="shared" si="19"/>
        <v>133.80074856790594</v>
      </c>
      <c r="L170" s="7">
        <f t="shared" si="19"/>
        <v>123.8649691833488</v>
      </c>
    </row>
    <row r="171" spans="2:12" x14ac:dyDescent="0.3">
      <c r="B171">
        <v>22</v>
      </c>
      <c r="C171" s="7">
        <f t="shared" si="19"/>
        <v>124.06458152696561</v>
      </c>
      <c r="D171" s="7">
        <f t="shared" si="19"/>
        <v>123.52124907169481</v>
      </c>
      <c r="E171" s="7">
        <f t="shared" si="19"/>
        <v>122.66452417595828</v>
      </c>
      <c r="F171" s="7">
        <f t="shared" si="19"/>
        <v>121.23585693727637</v>
      </c>
      <c r="G171" s="7">
        <f t="shared" si="19"/>
        <v>118.41023505548461</v>
      </c>
      <c r="H171" s="7">
        <f t="shared" si="19"/>
        <v>106.6094656977197</v>
      </c>
      <c r="I171" s="7">
        <f t="shared" si="19"/>
        <v>114.40532221801803</v>
      </c>
      <c r="J171" s="7">
        <f t="shared" si="19"/>
        <v>124.06458152696561</v>
      </c>
      <c r="K171" s="7">
        <f t="shared" si="19"/>
        <v>133.62129661336652</v>
      </c>
      <c r="L171" s="7">
        <f t="shared" si="19"/>
        <v>123.68012281501206</v>
      </c>
    </row>
    <row r="172" spans="2:12" x14ac:dyDescent="0.3">
      <c r="B172">
        <v>23</v>
      </c>
      <c r="C172" s="7">
        <f t="shared" si="19"/>
        <v>123.87914442823103</v>
      </c>
      <c r="D172" s="7">
        <f t="shared" si="19"/>
        <v>123.36036787056948</v>
      </c>
      <c r="E172" s="7">
        <f t="shared" si="19"/>
        <v>122.52819887244219</v>
      </c>
      <c r="F172" s="7">
        <f t="shared" si="19"/>
        <v>121.12408753136967</v>
      </c>
      <c r="G172" s="7">
        <f t="shared" si="19"/>
        <v>118.32302154718776</v>
      </c>
      <c r="H172" s="7">
        <f t="shared" si="19"/>
        <v>106.414571639697</v>
      </c>
      <c r="I172" s="7">
        <f t="shared" si="19"/>
        <v>114.2146312528978</v>
      </c>
      <c r="J172" s="7">
        <f t="shared" si="19"/>
        <v>123.87914442823103</v>
      </c>
      <c r="K172" s="7">
        <f t="shared" si="19"/>
        <v>133.4411133810319</v>
      </c>
      <c r="L172" s="7">
        <f t="shared" si="19"/>
        <v>123.49447556162154</v>
      </c>
    </row>
    <row r="173" spans="2:12" x14ac:dyDescent="0.3">
      <c r="B173">
        <v>24</v>
      </c>
      <c r="C173" s="7">
        <f t="shared" si="19"/>
        <v>123.69288825258572</v>
      </c>
      <c r="D173" s="7">
        <f t="shared" si="19"/>
        <v>123.19866759253337</v>
      </c>
      <c r="E173" s="7">
        <f t="shared" si="19"/>
        <v>122.39105449201537</v>
      </c>
      <c r="F173" s="7">
        <f t="shared" si="19"/>
        <v>121.01149904855221</v>
      </c>
      <c r="G173" s="7">
        <f t="shared" si="19"/>
        <v>118.23498896198024</v>
      </c>
      <c r="H173" s="7">
        <f t="shared" si="19"/>
        <v>106.21873488088573</v>
      </c>
      <c r="I173" s="7">
        <f t="shared" si="19"/>
        <v>114.02305253093168</v>
      </c>
      <c r="J173" s="7">
        <f t="shared" si="19"/>
        <v>123.69288825258572</v>
      </c>
      <c r="K173" s="7">
        <f t="shared" si="19"/>
        <v>133.26017975172201</v>
      </c>
      <c r="L173" s="7">
        <f t="shared" si="19"/>
        <v>123.30800648412284</v>
      </c>
    </row>
    <row r="174" spans="2:12" x14ac:dyDescent="0.3">
      <c r="B174">
        <v>25</v>
      </c>
      <c r="C174" s="7">
        <f t="shared" si="19"/>
        <v>123.50579130168873</v>
      </c>
      <c r="D174" s="7">
        <f t="shared" si="19"/>
        <v>123.03612653924559</v>
      </c>
      <c r="E174" s="7">
        <f t="shared" si="19"/>
        <v>122.25306933633689</v>
      </c>
      <c r="F174" s="7">
        <f t="shared" si="19"/>
        <v>120.89806979048311</v>
      </c>
      <c r="G174" s="7">
        <f t="shared" si="19"/>
        <v>118.14611560152103</v>
      </c>
      <c r="H174" s="7">
        <f t="shared" si="19"/>
        <v>106.02193044799864</v>
      </c>
      <c r="I174" s="7">
        <f t="shared" si="19"/>
        <v>113.83056253436401</v>
      </c>
      <c r="J174" s="7">
        <f t="shared" si="19"/>
        <v>123.50579130168873</v>
      </c>
      <c r="K174" s="7">
        <f t="shared" si="19"/>
        <v>133.07847584651074</v>
      </c>
      <c r="L174" s="7">
        <f t="shared" si="19"/>
        <v>123.12069381139848</v>
      </c>
    </row>
    <row r="175" spans="2:12" x14ac:dyDescent="0.3">
      <c r="B175">
        <v>26</v>
      </c>
      <c r="C175" s="7">
        <f t="shared" si="19"/>
        <v>123.31783100338902</v>
      </c>
      <c r="D175" s="7">
        <f t="shared" si="19"/>
        <v>122.8727221385551</v>
      </c>
      <c r="E175" s="7">
        <f t="shared" si="19"/>
        <v>122.11422083325567</v>
      </c>
      <c r="F175" s="7">
        <f t="shared" si="19"/>
        <v>120.78377718501135</v>
      </c>
      <c r="G175" s="7">
        <f t="shared" si="19"/>
        <v>118.05637889365919</v>
      </c>
      <c r="H175" s="7">
        <f t="shared" si="19"/>
        <v>105.82413236205345</v>
      </c>
      <c r="I175" s="7">
        <f t="shared" si="19"/>
        <v>113.63713679835956</v>
      </c>
      <c r="J175" s="7">
        <f t="shared" si="19"/>
        <v>123.31783100338902</v>
      </c>
      <c r="K175" s="7">
        <f t="shared" si="19"/>
        <v>132.8959809859312</v>
      </c>
      <c r="L175" s="7">
        <f t="shared" si="19"/>
        <v>122.93251489559002</v>
      </c>
    </row>
    <row r="176" spans="2:12" x14ac:dyDescent="0.3">
      <c r="B176">
        <v>27</v>
      </c>
      <c r="C176" s="7">
        <f t="shared" si="19"/>
        <v>123.12898386416754</v>
      </c>
      <c r="D176" s="7">
        <f t="shared" si="19"/>
        <v>122.70843089694284</v>
      </c>
      <c r="E176" s="7">
        <f t="shared" si="19"/>
        <v>121.97448548925267</v>
      </c>
      <c r="F176" s="7">
        <f t="shared" si="19"/>
        <v>120.66859773861775</v>
      </c>
      <c r="G176" s="7">
        <f t="shared" si="19"/>
        <v>117.96575534487555</v>
      </c>
      <c r="H176" s="7">
        <f t="shared" si="19"/>
        <v>105.62531358363712</v>
      </c>
      <c r="I176" s="7">
        <f t="shared" si="19"/>
        <v>113.4427498594581</v>
      </c>
      <c r="J176" s="7">
        <f t="shared" si="19"/>
        <v>123.12898386416754</v>
      </c>
      <c r="K176" s="7">
        <f t="shared" si="19"/>
        <v>132.71267364640551</v>
      </c>
      <c r="L176" s="7">
        <f t="shared" si="19"/>
        <v>122.74344616438074</v>
      </c>
    </row>
    <row r="177" spans="2:12" x14ac:dyDescent="0.3">
      <c r="B177">
        <v>28</v>
      </c>
      <c r="C177" s="7">
        <f t="shared" si="19"/>
        <v>122.93922541829912</v>
      </c>
      <c r="D177" s="7">
        <f t="shared" si="19"/>
        <v>122.54322834868364</v>
      </c>
      <c r="E177" s="7">
        <f t="shared" si="19"/>
        <v>121.83383883860276</v>
      </c>
      <c r="F177" s="7">
        <f t="shared" si="19"/>
        <v>120.55250698557725</v>
      </c>
      <c r="G177" s="7">
        <f t="shared" si="19"/>
        <v>117.87422048944502</v>
      </c>
      <c r="H177" s="7">
        <f t="shared" si="19"/>
        <v>105.42544595439489</v>
      </c>
      <c r="I177" s="7">
        <f t="shared" si="19"/>
        <v>113.24737520047341</v>
      </c>
      <c r="J177" s="7">
        <f t="shared" si="19"/>
        <v>122.93922541829912</v>
      </c>
      <c r="K177" s="7">
        <f t="shared" si="19"/>
        <v>132.52853141366967</v>
      </c>
      <c r="L177" s="7">
        <f t="shared" si="19"/>
        <v>122.55346306998705</v>
      </c>
    </row>
    <row r="178" spans="2:12" x14ac:dyDescent="0.3">
      <c r="B178">
        <v>29</v>
      </c>
      <c r="C178" s="7">
        <f t="shared" si="19"/>
        <v>122.74853017345916</v>
      </c>
      <c r="D178" s="7">
        <f t="shared" si="19"/>
        <v>122.3770890014529</v>
      </c>
      <c r="E178" s="7">
        <f t="shared" si="19"/>
        <v>121.69225538898131</v>
      </c>
      <c r="F178" s="7">
        <f t="shared" si="19"/>
        <v>120.43547943356525</v>
      </c>
      <c r="G178" s="7">
        <f t="shared" si="19"/>
        <v>117.78174883504305</v>
      </c>
      <c r="H178" s="7">
        <f t="shared" si="19"/>
        <v>105.224500134427</v>
      </c>
      <c r="I178" s="7">
        <f t="shared" si="19"/>
        <v>113.05098519153897</v>
      </c>
      <c r="J178" s="7">
        <f t="shared" si="19"/>
        <v>122.74853017345916</v>
      </c>
      <c r="K178" s="7">
        <f t="shared" si="19"/>
        <v>132.34353093294095</v>
      </c>
      <c r="L178" s="7">
        <f t="shared" si="19"/>
        <v>122.36254003458271</v>
      </c>
    </row>
    <row r="179" spans="2:12" x14ac:dyDescent="0.3">
      <c r="B179">
        <v>30</v>
      </c>
      <c r="C179" s="7">
        <f t="shared" si="19"/>
        <v>122.55687155247203</v>
      </c>
      <c r="D179" s="7">
        <f t="shared" si="19"/>
        <v>122.20998627807506</v>
      </c>
      <c r="E179" s="7">
        <f t="shared" si="19"/>
        <v>121.54970856321273</v>
      </c>
      <c r="F179" s="7">
        <f t="shared" si="19"/>
        <v>120.3174885054061</v>
      </c>
      <c r="G179" s="7">
        <f t="shared" si="19"/>
        <v>117.68831380449387</v>
      </c>
      <c r="H179" s="7">
        <f t="shared" si="19"/>
        <v>105.02244553524535</v>
      </c>
      <c r="I179" s="7">
        <f t="shared" si="19"/>
        <v>112.85355102697213</v>
      </c>
      <c r="J179" s="7">
        <f t="shared" si="19"/>
        <v>122.55687155247203</v>
      </c>
      <c r="K179" s="7">
        <f t="shared" si="19"/>
        <v>132.15764785555081</v>
      </c>
      <c r="L179" s="7">
        <f t="shared" si="19"/>
        <v>122.17065039185177</v>
      </c>
    </row>
    <row r="180" spans="2:12" x14ac:dyDescent="0.3">
      <c r="B180">
        <v>31</v>
      </c>
      <c r="C180" s="7">
        <f t="shared" si="19"/>
        <v>122.36422183086842</v>
      </c>
      <c r="D180" s="7">
        <f t="shared" si="19"/>
        <v>122.04189245408062</v>
      </c>
      <c r="E180" s="7">
        <f t="shared" si="19"/>
        <v>121.40617063682762</v>
      </c>
      <c r="F180" s="7">
        <f t="shared" si="19"/>
        <v>120.19850647663043</v>
      </c>
      <c r="G180" s="7">
        <f t="shared" si="19"/>
        <v>117.59388767332828</v>
      </c>
      <c r="H180" s="7">
        <f t="shared" si="19"/>
        <v>104.81925024790633</v>
      </c>
      <c r="I180" s="7">
        <f t="shared" si="19"/>
        <v>112.65504265759536</v>
      </c>
      <c r="J180" s="7">
        <f t="shared" si="19"/>
        <v>122.36422183086842</v>
      </c>
      <c r="K180" s="7">
        <f t="shared" si="19"/>
        <v>131.97085678173806</v>
      </c>
      <c r="L180" s="7">
        <f t="shared" si="19"/>
        <v>121.97776632433654</v>
      </c>
    </row>
    <row r="181" spans="2:12" x14ac:dyDescent="0.3">
      <c r="B181">
        <v>32</v>
      </c>
      <c r="C181" s="7">
        <f t="shared" ref="C181:L196" si="20">$E$15*(C$37*LN((C$46-C79/$E$16)/($E$22*C$40)+1)-$E$23*(C79/$E$16))</f>
        <v>122.17055206988411</v>
      </c>
      <c r="D181" s="7">
        <f t="shared" si="20"/>
        <v>121.87277859070556</v>
      </c>
      <c r="E181" s="7">
        <f t="shared" si="20"/>
        <v>121.26161267106185</v>
      </c>
      <c r="F181" s="7">
        <f t="shared" si="20"/>
        <v>120.07850440847415</v>
      </c>
      <c r="G181" s="7">
        <f t="shared" si="20"/>
        <v>117.49844150278203</v>
      </c>
      <c r="H181" s="7">
        <f t="shared" si="20"/>
        <v>104.61488096589699</v>
      </c>
      <c r="I181" s="7">
        <f t="shared" si="20"/>
        <v>112.45542871811725</v>
      </c>
      <c r="J181" s="7">
        <f t="shared" si="20"/>
        <v>122.17055206988411</v>
      </c>
      <c r="K181" s="7">
        <f t="shared" si="20"/>
        <v>131.7831311992658</v>
      </c>
      <c r="L181" s="7">
        <f t="shared" si="20"/>
        <v>121.7838587962118</v>
      </c>
    </row>
    <row r="182" spans="2:12" x14ac:dyDescent="0.3">
      <c r="B182">
        <v>33</v>
      </c>
      <c r="C182" s="7">
        <f t="shared" si="20"/>
        <v>121.97583204449559</v>
      </c>
      <c r="D182" s="7">
        <f t="shared" si="20"/>
        <v>121.70261446292631</v>
      </c>
      <c r="E182" s="7">
        <f t="shared" si="20"/>
        <v>121.1160044408919</v>
      </c>
      <c r="F182" s="7">
        <f t="shared" si="20"/>
        <v>119.95745207591364</v>
      </c>
      <c r="G182" s="7">
        <f t="shared" si="20"/>
        <v>117.40194506783162</v>
      </c>
      <c r="H182" s="7">
        <f t="shared" si="20"/>
        <v>104.40930290230907</v>
      </c>
      <c r="I182" s="7">
        <f t="shared" si="20"/>
        <v>112.25467644913371</v>
      </c>
      <c r="J182" s="7">
        <f t="shared" si="20"/>
        <v>121.97583204449559</v>
      </c>
      <c r="K182" s="7">
        <f t="shared" si="20"/>
        <v>131.59444341749111</v>
      </c>
      <c r="L182" s="7">
        <f t="shared" si="20"/>
        <v>121.58889748107879</v>
      </c>
    </row>
    <row r="183" spans="2:12" x14ac:dyDescent="0.3">
      <c r="B183">
        <v>34</v>
      </c>
      <c r="C183" s="7">
        <f t="shared" si="20"/>
        <v>121.78003016604394</v>
      </c>
      <c r="D183" s="7">
        <f t="shared" si="20"/>
        <v>121.53136848208389</v>
      </c>
      <c r="E183" s="7">
        <f t="shared" si="20"/>
        <v>120.9693143576588</v>
      </c>
      <c r="F183" s="7">
        <f t="shared" si="20"/>
        <v>119.83531789029003</v>
      </c>
      <c r="G183" s="7">
        <f t="shared" si="20"/>
        <v>117.30436677981815</v>
      </c>
      <c r="H183" s="7">
        <f t="shared" si="20"/>
        <v>104.20247970078438</v>
      </c>
      <c r="I183" s="7">
        <f t="shared" si="20"/>
        <v>112.05275161326377</v>
      </c>
      <c r="J183" s="7">
        <f t="shared" si="20"/>
        <v>121.78003016604394</v>
      </c>
      <c r="K183" s="7">
        <f t="shared" si="20"/>
        <v>131.40476449647716</v>
      </c>
      <c r="L183" s="7">
        <f t="shared" si="20"/>
        <v>121.3928506843297</v>
      </c>
    </row>
    <row r="184" spans="2:12" x14ac:dyDescent="0.3">
      <c r="B184">
        <v>35</v>
      </c>
      <c r="C184" s="7">
        <f t="shared" si="20"/>
        <v>121.58311339895147</v>
      </c>
      <c r="D184" s="7">
        <f t="shared" si="20"/>
        <v>121.35900761260068</v>
      </c>
      <c r="E184" s="7">
        <f t="shared" si="20"/>
        <v>120.82150938578489</v>
      </c>
      <c r="F184" s="7">
        <f t="shared" si="20"/>
        <v>119.71206881602556</v>
      </c>
      <c r="G184" s="7">
        <f t="shared" si="20"/>
        <v>117.20567360316389</v>
      </c>
      <c r="H184" s="7">
        <f t="shared" si="20"/>
        <v>103.99437333966149</v>
      </c>
      <c r="I184" s="7">
        <f t="shared" si="20"/>
        <v>111.84961840488302</v>
      </c>
      <c r="J184" s="7">
        <f t="shared" si="20"/>
        <v>121.58311339895147</v>
      </c>
      <c r="K184" s="7">
        <f t="shared" si="20"/>
        <v>131.21406417069295</v>
      </c>
      <c r="L184" s="7">
        <f t="shared" si="20"/>
        <v>121.19568525958498</v>
      </c>
    </row>
    <row r="185" spans="2:12" x14ac:dyDescent="0.3">
      <c r="B185">
        <v>36</v>
      </c>
      <c r="C185" s="7">
        <f t="shared" si="20"/>
        <v>121.38504717098161</v>
      </c>
      <c r="D185" s="7">
        <f t="shared" si="20"/>
        <v>121.18549728224004</v>
      </c>
      <c r="E185" s="7">
        <f t="shared" si="20"/>
        <v>120.67255495303361</v>
      </c>
      <c r="F185" s="7">
        <f t="shared" si="20"/>
        <v>119.58767028088378</v>
      </c>
      <c r="G185" s="7">
        <f t="shared" si="20"/>
        <v>117.10583096563228</v>
      </c>
      <c r="H185" s="7">
        <f t="shared" si="20"/>
        <v>103.78494402869103</v>
      </c>
      <c r="I185" s="7">
        <f t="shared" si="20"/>
        <v>111.64523935285864</v>
      </c>
      <c r="J185" s="7">
        <f t="shared" si="20"/>
        <v>121.38504717098161</v>
      </c>
      <c r="K185" s="7">
        <f t="shared" si="20"/>
        <v>131.02231076679817</v>
      </c>
      <c r="L185" s="7">
        <f t="shared" si="20"/>
        <v>120.99736651865216</v>
      </c>
    </row>
    <row r="186" spans="2:12" x14ac:dyDescent="0.3">
      <c r="B186">
        <v>37</v>
      </c>
      <c r="C186" s="7">
        <f t="shared" si="20"/>
        <v>121.18579527643183</v>
      </c>
      <c r="D186" s="7">
        <f t="shared" si="20"/>
        <v>121.01080128529955</v>
      </c>
      <c r="E186" s="7">
        <f t="shared" si="20"/>
        <v>120.52241485370243</v>
      </c>
      <c r="F186" s="7">
        <f t="shared" si="20"/>
        <v>119.46208607916212</v>
      </c>
      <c r="G186" s="7">
        <f t="shared" si="20"/>
        <v>117.00480266152083</v>
      </c>
      <c r="H186" s="7">
        <f t="shared" si="20"/>
        <v>103.57415009761753</v>
      </c>
      <c r="I186" s="7">
        <f t="shared" si="20"/>
        <v>111.43957521562514</v>
      </c>
      <c r="J186" s="7">
        <f t="shared" si="20"/>
        <v>121.18579527643183</v>
      </c>
      <c r="K186" s="7">
        <f t="shared" si="20"/>
        <v>130.82947111495338</v>
      </c>
      <c r="L186" s="7">
        <f t="shared" si="20"/>
        <v>120.79785813439425</v>
      </c>
    </row>
    <row r="187" spans="2:12" x14ac:dyDescent="0.3">
      <c r="B187">
        <v>38</v>
      </c>
      <c r="C187" s="7">
        <f t="shared" si="20"/>
        <v>120.98531977158109</v>
      </c>
      <c r="D187" s="7">
        <f t="shared" si="20"/>
        <v>120.83488167805807</v>
      </c>
      <c r="E187" s="7">
        <f t="shared" si="20"/>
        <v>120.37105114407025</v>
      </c>
      <c r="F187" s="7">
        <f t="shared" si="20"/>
        <v>119.33527826713943</v>
      </c>
      <c r="G187" s="7">
        <f t="shared" si="20"/>
        <v>116.90255074710845</v>
      </c>
      <c r="H187" s="7">
        <f t="shared" si="20"/>
        <v>103.36194787584652</v>
      </c>
      <c r="I187" s="7">
        <f t="shared" si="20"/>
        <v>111.23258486786492</v>
      </c>
      <c r="J187" s="7">
        <f t="shared" si="20"/>
        <v>120.98531977158109</v>
      </c>
      <c r="K187" s="7">
        <f t="shared" si="20"/>
        <v>130.63551045303404</v>
      </c>
      <c r="L187" s="7">
        <f t="shared" si="20"/>
        <v>120.5971220358263</v>
      </c>
    </row>
    <row r="188" spans="2:12" x14ac:dyDescent="0.3">
      <c r="B188">
        <v>39</v>
      </c>
      <c r="C188" s="7">
        <f t="shared" si="20"/>
        <v>120.7835808616357</v>
      </c>
      <c r="D188" s="7">
        <f t="shared" si="20"/>
        <v>120.65769866572192</v>
      </c>
      <c r="E188" s="7">
        <f t="shared" si="20"/>
        <v>120.21842402934347</v>
      </c>
      <c r="F188" s="7">
        <f t="shared" si="20"/>
        <v>119.20720705002219</v>
      </c>
      <c r="G188" s="7">
        <f t="shared" si="20"/>
        <v>116.79903542760145</v>
      </c>
      <c r="H188" s="7">
        <f t="shared" si="20"/>
        <v>103.14829156232734</v>
      </c>
      <c r="I188" s="7">
        <f t="shared" si="20"/>
        <v>111.02422517797447</v>
      </c>
      <c r="J188" s="7">
        <f t="shared" si="20"/>
        <v>120.7835808616357</v>
      </c>
      <c r="K188" s="7">
        <f t="shared" si="20"/>
        <v>130.44039232305636</v>
      </c>
      <c r="L188" s="7">
        <f t="shared" si="20"/>
        <v>120.39511829468228</v>
      </c>
    </row>
    <row r="189" spans="2:12" x14ac:dyDescent="0.3">
      <c r="B189">
        <v>40</v>
      </c>
      <c r="C189" s="7">
        <f t="shared" si="20"/>
        <v>120.58053677833105</v>
      </c>
      <c r="D189" s="7">
        <f t="shared" si="20"/>
        <v>120.47921048002657</v>
      </c>
      <c r="E189" s="7">
        <f t="shared" si="20"/>
        <v>120.06449174125744</v>
      </c>
      <c r="F189" s="7">
        <f t="shared" si="20"/>
        <v>119.0778306595457</v>
      </c>
      <c r="G189" s="7">
        <f t="shared" si="20"/>
        <v>116.69421493473531</v>
      </c>
      <c r="H189" s="7">
        <f t="shared" si="20"/>
        <v>102.9331330846808</v>
      </c>
      <c r="I189" s="7">
        <f t="shared" si="20"/>
        <v>110.81445087540314</v>
      </c>
      <c r="J189" s="7">
        <f t="shared" si="20"/>
        <v>120.58053677833105</v>
      </c>
      <c r="K189" s="7">
        <f t="shared" si="20"/>
        <v>130.24407845904182</v>
      </c>
      <c r="L189" s="7">
        <f t="shared" si="20"/>
        <v>120.19180500260609</v>
      </c>
    </row>
    <row r="190" spans="2:12" x14ac:dyDescent="0.3">
      <c r="B190">
        <v>41</v>
      </c>
      <c r="C190" s="7">
        <f t="shared" si="20"/>
        <v>120.37614364724615</v>
      </c>
      <c r="D190" s="7">
        <f t="shared" si="20"/>
        <v>120.29937324655093</v>
      </c>
      <c r="E190" s="7">
        <f t="shared" si="20"/>
        <v>119.90921040539115</v>
      </c>
      <c r="F190" s="7">
        <f t="shared" si="20"/>
        <v>118.94710522128898</v>
      </c>
      <c r="G190" s="7">
        <f t="shared" si="20"/>
        <v>116.58804539408895</v>
      </c>
      <c r="H190" s="7">
        <f t="shared" si="20"/>
        <v>102.71642194648774</v>
      </c>
      <c r="I190" s="7">
        <f t="shared" si="20"/>
        <v>110.60321440684169</v>
      </c>
      <c r="J190" s="7">
        <f t="shared" si="20"/>
        <v>120.37614364724615</v>
      </c>
      <c r="K190" s="7">
        <f t="shared" si="20"/>
        <v>130.04652866545763</v>
      </c>
      <c r="L190" s="7">
        <f t="shared" si="20"/>
        <v>119.98713813802124</v>
      </c>
    </row>
    <row r="191" spans="2:12" x14ac:dyDescent="0.3">
      <c r="B191">
        <v>42</v>
      </c>
      <c r="C191" s="7">
        <f t="shared" si="20"/>
        <v>120.1703553437759</v>
      </c>
      <c r="D191" s="7">
        <f t="shared" si="20"/>
        <v>120.11814084068995</v>
      </c>
      <c r="E191" s="7">
        <f t="shared" si="20"/>
        <v>119.75253389713953</v>
      </c>
      <c r="F191" s="7">
        <f t="shared" si="20"/>
        <v>118.81498461064692</v>
      </c>
      <c r="G191" s="7">
        <f t="shared" si="20"/>
        <v>116.48048068105733</v>
      </c>
      <c r="H191" s="7">
        <f t="shared" si="20"/>
        <v>102.49810506152298</v>
      </c>
      <c r="I191" s="7">
        <f t="shared" si="20"/>
        <v>110.39046578011798</v>
      </c>
      <c r="J191" s="7">
        <f t="shared" si="20"/>
        <v>120.1703553437759</v>
      </c>
      <c r="K191" s="7">
        <f t="shared" si="20"/>
        <v>129.84770068526586</v>
      </c>
      <c r="L191" s="7">
        <f t="shared" si="20"/>
        <v>119.78107142161991</v>
      </c>
    </row>
    <row r="192" spans="2:12" x14ac:dyDescent="0.3">
      <c r="B192">
        <v>43</v>
      </c>
      <c r="C192" s="7">
        <f t="shared" si="20"/>
        <v>119.9631233365775</v>
      </c>
      <c r="D192" s="7">
        <f t="shared" si="20"/>
        <v>119.93546473110084</v>
      </c>
      <c r="E192" s="7">
        <f t="shared" si="20"/>
        <v>119.59441368515978</v>
      </c>
      <c r="F192" s="7">
        <f t="shared" si="20"/>
        <v>118.68142029627677</v>
      </c>
      <c r="G192" s="7">
        <f t="shared" si="20"/>
        <v>116.37147226429761</v>
      </c>
      <c r="H192" s="7">
        <f t="shared" si="20"/>
        <v>102.27812657357298</v>
      </c>
      <c r="I192" s="7">
        <f t="shared" si="20"/>
        <v>110.17615239451631</v>
      </c>
      <c r="J192" s="7">
        <f t="shared" si="20"/>
        <v>119.9631233365775</v>
      </c>
      <c r="K192" s="7">
        <f t="shared" si="20"/>
        <v>129.6475500564967</v>
      </c>
      <c r="L192" s="7">
        <f t="shared" si="20"/>
        <v>119.57355615928444</v>
      </c>
    </row>
    <row r="193" spans="2:12" x14ac:dyDescent="0.3">
      <c r="B193">
        <v>44</v>
      </c>
      <c r="C193" s="7">
        <f t="shared" si="20"/>
        <v>119.75439651716053</v>
      </c>
      <c r="D193" s="7">
        <f t="shared" si="20"/>
        <v>119.75129380929309</v>
      </c>
      <c r="E193" s="7">
        <f t="shared" si="20"/>
        <v>119.43479866096145</v>
      </c>
      <c r="F193" s="7">
        <f t="shared" si="20"/>
        <v>118.54636116968801</v>
      </c>
      <c r="G193" s="7">
        <f t="shared" si="20"/>
        <v>116.26096903531939</v>
      </c>
      <c r="H193" s="7">
        <f t="shared" si="20"/>
        <v>102.05642766030581</v>
      </c>
      <c r="I193" s="7">
        <f t="shared" si="20"/>
        <v>109.96021885607821</v>
      </c>
      <c r="J193" s="7">
        <f t="shared" si="20"/>
        <v>119.75439651716053</v>
      </c>
      <c r="K193" s="7">
        <f t="shared" si="20"/>
        <v>129.4460299561276</v>
      </c>
      <c r="L193" s="7">
        <f t="shared" si="20"/>
        <v>119.36454107110559</v>
      </c>
    </row>
    <row r="194" spans="2:12" x14ac:dyDescent="0.3">
      <c r="B194">
        <v>45</v>
      </c>
      <c r="C194" s="7">
        <f t="shared" si="20"/>
        <v>119.54412101412208</v>
      </c>
      <c r="D194" s="7">
        <f t="shared" si="20"/>
        <v>119.56557420386397</v>
      </c>
      <c r="E194" s="7">
        <f t="shared" si="20"/>
        <v>119.27363495314167</v>
      </c>
      <c r="F194" s="7">
        <f t="shared" si="20"/>
        <v>118.40975335947783</v>
      </c>
      <c r="G194" s="7">
        <f t="shared" si="20"/>
        <v>116.14891712271978</v>
      </c>
      <c r="H194" s="7">
        <f t="shared" si="20"/>
        <v>101.83294631946875</v>
      </c>
      <c r="I194" s="7">
        <f t="shared" si="20"/>
        <v>109.74260677626172</v>
      </c>
      <c r="J194" s="7">
        <f t="shared" si="20"/>
        <v>119.54412101412208</v>
      </c>
      <c r="K194" s="7">
        <f t="shared" si="20"/>
        <v>129.24309102989503</v>
      </c>
      <c r="L194" s="7">
        <f t="shared" si="20"/>
        <v>119.15397210499499</v>
      </c>
    </row>
    <row r="195" spans="2:12" x14ac:dyDescent="0.3">
      <c r="B195">
        <v>46</v>
      </c>
      <c r="C195" s="7">
        <f t="shared" si="20"/>
        <v>119.33223999033706</v>
      </c>
      <c r="D195" s="7">
        <f t="shared" si="20"/>
        <v>119.37824907768821</v>
      </c>
      <c r="E195" s="7">
        <f t="shared" si="20"/>
        <v>119.11086572457532</v>
      </c>
      <c r="F195" s="7">
        <f t="shared" si="20"/>
        <v>118.27154002852114</v>
      </c>
      <c r="G195" s="7">
        <f t="shared" si="20"/>
        <v>116.03525968937369</v>
      </c>
      <c r="H195" s="7">
        <f t="shared" si="20"/>
        <v>101.60761713546817</v>
      </c>
      <c r="I195" s="7">
        <f t="shared" si="20"/>
        <v>109.52325455212547</v>
      </c>
      <c r="J195" s="7">
        <f t="shared" si="20"/>
        <v>119.33223999033706</v>
      </c>
      <c r="K195" s="7">
        <f t="shared" si="20"/>
        <v>129.03868120649008</v>
      </c>
      <c r="L195" s="7">
        <f t="shared" si="20"/>
        <v>118.94179223319486</v>
      </c>
    </row>
    <row r="196" spans="2:12" x14ac:dyDescent="0.3">
      <c r="B196">
        <v>47</v>
      </c>
      <c r="C196" s="7">
        <f t="shared" si="20"/>
        <v>119.11869342119054</v>
      </c>
      <c r="D196" s="7">
        <f t="shared" si="20"/>
        <v>119.18925840615101</v>
      </c>
      <c r="E196" s="7">
        <f t="shared" si="20"/>
        <v>118.94643095064751</v>
      </c>
      <c r="F196" s="7">
        <f t="shared" si="20"/>
        <v>118.13166115220297</v>
      </c>
      <c r="G196" s="7">
        <f t="shared" si="20"/>
        <v>115.91993671066621</v>
      </c>
      <c r="H196" s="7">
        <f t="shared" si="20"/>
        <v>101.3803710241307</v>
      </c>
      <c r="I196" s="7">
        <f t="shared" si="20"/>
        <v>109.30209712596594</v>
      </c>
      <c r="J196" s="7">
        <f t="shared" si="20"/>
        <v>119.11869342119054</v>
      </c>
      <c r="K196" s="7">
        <f t="shared" si="20"/>
        <v>128.83274549438653</v>
      </c>
      <c r="L196" s="7">
        <f t="shared" si="20"/>
        <v>118.72794122976673</v>
      </c>
    </row>
    <row r="197" spans="2:12" x14ac:dyDescent="0.3">
      <c r="B197">
        <v>48</v>
      </c>
      <c r="C197" s="7">
        <f t="shared" ref="C197:L212" si="21">$E$15*(C$37*LN((C$46-C95/$E$16)/($E$22*C$40)+1)-$E$23*(C95/$E$16))</f>
        <v>118.90341785168613</v>
      </c>
      <c r="D197" s="7">
        <f t="shared" si="21"/>
        <v>118.99853873425592</v>
      </c>
      <c r="E197" s="7">
        <f t="shared" si="21"/>
        <v>118.78026717636182</v>
      </c>
      <c r="F197" s="7">
        <f t="shared" si="21"/>
        <v>117.99005327552695</v>
      </c>
      <c r="G197" s="7">
        <f t="shared" si="21"/>
        <v>115.8028847316009</v>
      </c>
      <c r="H197" s="7">
        <f t="shared" si="21"/>
        <v>101.15113495315134</v>
      </c>
      <c r="I197" s="7">
        <f t="shared" si="21"/>
        <v>109.07906572205928</v>
      </c>
      <c r="J197" s="7">
        <f t="shared" si="21"/>
        <v>118.90341785168613</v>
      </c>
      <c r="K197" s="7">
        <f t="shared" si="21"/>
        <v>128.62522575931547</v>
      </c>
      <c r="L197" s="7">
        <f t="shared" si="21"/>
        <v>118.51235542688508</v>
      </c>
    </row>
    <row r="198" spans="2:12" x14ac:dyDescent="0.3">
      <c r="B198">
        <v>49</v>
      </c>
      <c r="C198" s="7">
        <f t="shared" si="21"/>
        <v>118.68634612996824</v>
      </c>
      <c r="D198" s="7">
        <f t="shared" si="21"/>
        <v>118.80602291014732</v>
      </c>
      <c r="E198" s="7">
        <f t="shared" si="21"/>
        <v>118.61230724986264</v>
      </c>
      <c r="F198" s="7">
        <f t="shared" si="21"/>
        <v>117.8466492466375</v>
      </c>
      <c r="G198" s="7">
        <f t="shared" si="21"/>
        <v>115.68403660032222</v>
      </c>
      <c r="H198" s="7">
        <f t="shared" si="21"/>
        <v>100.91983163539638</v>
      </c>
      <c r="I198" s="7">
        <f t="shared" si="21"/>
        <v>108.85408755783932</v>
      </c>
      <c r="J198" s="7">
        <f t="shared" si="21"/>
        <v>118.68634612996824</v>
      </c>
      <c r="K198" s="7">
        <f t="shared" si="21"/>
        <v>128.41606048013193</v>
      </c>
      <c r="L198" s="7">
        <f t="shared" si="21"/>
        <v>118.29496744746592</v>
      </c>
    </row>
    <row r="199" spans="2:12" x14ac:dyDescent="0.3">
      <c r="B199">
        <v>50</v>
      </c>
      <c r="C199" s="7">
        <f t="shared" si="21"/>
        <v>118.46740711445544</v>
      </c>
      <c r="D199" s="7">
        <f t="shared" si="21"/>
        <v>118.61163979224384</v>
      </c>
      <c r="E199" s="7">
        <f t="shared" si="21"/>
        <v>118.44248002956857</v>
      </c>
      <c r="F199" s="7">
        <f t="shared" si="21"/>
        <v>117.70137792395315</v>
      </c>
      <c r="G199" s="7">
        <f t="shared" si="21"/>
        <v>115.56332117524872</v>
      </c>
      <c r="H199" s="7">
        <f t="shared" si="21"/>
        <v>100.68637919183412</v>
      </c>
      <c r="I199" s="7">
        <f t="shared" si="21"/>
        <v>108.62708552647381</v>
      </c>
      <c r="J199" s="7">
        <f t="shared" si="21"/>
        <v>118.46740711445544</v>
      </c>
      <c r="K199" s="7">
        <f t="shared" si="21"/>
        <v>128.20518448050541</v>
      </c>
      <c r="L199" s="7">
        <f t="shared" si="21"/>
        <v>118.07570591131774</v>
      </c>
    </row>
    <row r="200" spans="2:12" x14ac:dyDescent="0.3">
      <c r="B200">
        <v>51</v>
      </c>
      <c r="C200" s="7">
        <f t="shared" si="21"/>
        <v>118.2465253513857</v>
      </c>
      <c r="D200" s="7">
        <f t="shared" si="21"/>
        <v>118.41531392678341</v>
      </c>
      <c r="E200" s="7">
        <f t="shared" si="21"/>
        <v>118.27071006171761</v>
      </c>
      <c r="F200" s="7">
        <f t="shared" si="21"/>
        <v>117.55416385371188</v>
      </c>
      <c r="G200" s="7">
        <f t="shared" si="21"/>
        <v>115.44066300261841</v>
      </c>
      <c r="H200" s="7">
        <f t="shared" si="21"/>
        <v>100.4506907804117</v>
      </c>
      <c r="I200" s="7">
        <f t="shared" si="21"/>
        <v>108.39797784737192</v>
      </c>
      <c r="J200" s="7">
        <f t="shared" si="21"/>
        <v>118.2465253513857</v>
      </c>
      <c r="K200" s="7">
        <f t="shared" si="21"/>
        <v>127.9925286335028</v>
      </c>
      <c r="L200" s="7">
        <f t="shared" si="21"/>
        <v>117.8544951116054</v>
      </c>
    </row>
    <row r="201" spans="2:12" x14ac:dyDescent="0.3">
      <c r="B201">
        <v>52</v>
      </c>
      <c r="C201" s="7">
        <f t="shared" si="21"/>
        <v>118.02362071911202</v>
      </c>
      <c r="D201" s="7">
        <f t="shared" si="21"/>
        <v>118.21696519211908</v>
      </c>
      <c r="E201" s="7">
        <f t="shared" si="21"/>
        <v>118.09691722466272</v>
      </c>
      <c r="F201" s="7">
        <f t="shared" si="21"/>
        <v>117.40492691426675</v>
      </c>
      <c r="G201" s="7">
        <f t="shared" si="21"/>
        <v>115.31598196078428</v>
      </c>
      <c r="H201" s="7">
        <f t="shared" si="21"/>
        <v>100.21267418666406</v>
      </c>
      <c r="I201" s="7">
        <f t="shared" si="21"/>
        <v>108.16667768065371</v>
      </c>
      <c r="J201" s="7">
        <f t="shared" si="21"/>
        <v>118.02362071911202</v>
      </c>
      <c r="K201" s="7">
        <f t="shared" si="21"/>
        <v>127.77801953571007</v>
      </c>
      <c r="L201" s="7">
        <f t="shared" si="21"/>
        <v>117.63125465795261</v>
      </c>
    </row>
    <row r="202" spans="2:12" x14ac:dyDescent="0.3">
      <c r="B202">
        <v>53</v>
      </c>
      <c r="C202" s="7">
        <f t="shared" si="21"/>
        <v>117.7986080349477</v>
      </c>
      <c r="D202" s="7">
        <f t="shared" si="21"/>
        <v>118.01650840556411</v>
      </c>
      <c r="E202" s="7">
        <f t="shared" si="21"/>
        <v>117.92101633571721</v>
      </c>
      <c r="F202" s="7">
        <f t="shared" si="21"/>
        <v>117.25358192293105</v>
      </c>
      <c r="G202" s="7">
        <f t="shared" si="21"/>
        <v>115.18919286705962</v>
      </c>
      <c r="H202" s="7">
        <f t="shared" si="21"/>
        <v>99.972231371220147</v>
      </c>
      <c r="I202" s="7">
        <f t="shared" si="21"/>
        <v>107.93309270102928</v>
      </c>
      <c r="J202" s="7">
        <f t="shared" si="21"/>
        <v>117.7986080349477</v>
      </c>
      <c r="K202" s="7">
        <f t="shared" si="21"/>
        <v>127.56157914704384</v>
      </c>
      <c r="L202" s="7">
        <f t="shared" si="21"/>
        <v>117.40589908196849</v>
      </c>
    </row>
    <row r="203" spans="2:12" x14ac:dyDescent="0.3">
      <c r="B203">
        <v>54</v>
      </c>
      <c r="C203" s="7">
        <f t="shared" si="21"/>
        <v>117.57139661972757</v>
      </c>
      <c r="D203" s="7">
        <f t="shared" si="21"/>
        <v>117.8138528879533</v>
      </c>
      <c r="E203" s="7">
        <f t="shared" si="21"/>
        <v>117.74291671571589</v>
      </c>
      <c r="F203" s="7">
        <f t="shared" si="21"/>
        <v>117.10003820053957</v>
      </c>
      <c r="G203" s="7">
        <f t="shared" si="21"/>
        <v>115.06020504227929</v>
      </c>
      <c r="H203" s="7">
        <f t="shared" si="21"/>
        <v>99.729257968642926</v>
      </c>
      <c r="I203" s="7">
        <f t="shared" si="21"/>
        <v>107.6971246258483</v>
      </c>
      <c r="J203" s="7">
        <f t="shared" si="21"/>
        <v>117.57139661972757</v>
      </c>
      <c r="K203" s="7">
        <f t="shared" si="21"/>
        <v>127.34312439182419</v>
      </c>
      <c r="L203" s="7">
        <f t="shared" si="21"/>
        <v>117.17833740034845</v>
      </c>
    </row>
    <row r="204" spans="2:12" x14ac:dyDescent="0.3">
      <c r="B204">
        <v>55</v>
      </c>
      <c r="C204" s="7">
        <f t="shared" si="21"/>
        <v>117.34188981450781</v>
      </c>
      <c r="D204" s="7">
        <f t="shared" si="21"/>
        <v>117.60890198034291</v>
      </c>
      <c r="E204" s="7">
        <f t="shared" si="21"/>
        <v>117.56252170571499</v>
      </c>
      <c r="F204" s="7">
        <f t="shared" si="21"/>
        <v>116.94419908814849</v>
      </c>
      <c r="G204" s="7">
        <f t="shared" si="21"/>
        <v>114.92892182749948</v>
      </c>
      <c r="H204" s="7">
        <f t="shared" si="21"/>
        <v>99.483642731184545</v>
      </c>
      <c r="I204" s="7">
        <f t="shared" si="21"/>
        <v>107.45866869127488</v>
      </c>
      <c r="J204" s="7">
        <f t="shared" si="21"/>
        <v>117.34188981450781</v>
      </c>
      <c r="K204" s="7">
        <f t="shared" si="21"/>
        <v>127.12256671599943</v>
      </c>
      <c r="L204" s="7">
        <f t="shared" si="21"/>
        <v>116.948472629953</v>
      </c>
    </row>
    <row r="205" spans="2:12" x14ac:dyDescent="0.3">
      <c r="B205">
        <v>56</v>
      </c>
      <c r="C205" s="7">
        <f t="shared" si="21"/>
        <v>117.10998444294944</v>
      </c>
      <c r="D205" s="7">
        <f t="shared" si="21"/>
        <v>117.40155250639387</v>
      </c>
      <c r="E205" s="7">
        <f t="shared" si="21"/>
        <v>117.37972812937548</v>
      </c>
      <c r="F205" s="7">
        <f t="shared" si="21"/>
        <v>116.78596140941887</v>
      </c>
      <c r="G205" s="7">
        <f t="shared" si="21"/>
        <v>114.79524004638117</v>
      </c>
      <c r="H205" s="7">
        <f t="shared" si="21"/>
        <v>99.23526691002678</v>
      </c>
      <c r="I205" s="7">
        <f t="shared" si="21"/>
        <v>107.21761306959181</v>
      </c>
      <c r="J205" s="7">
        <f t="shared" si="21"/>
        <v>117.10998444294944</v>
      </c>
      <c r="K205" s="7">
        <f t="shared" si="21"/>
        <v>126.89981159460901</v>
      </c>
      <c r="L205" s="7">
        <f t="shared" si="21"/>
        <v>116.71620124838803</v>
      </c>
    </row>
    <row r="206" spans="2:12" x14ac:dyDescent="0.3">
      <c r="B206">
        <v>57</v>
      </c>
      <c r="C206" s="7">
        <f t="shared" si="21"/>
        <v>116.87557021189126</v>
      </c>
      <c r="D206" s="7">
        <f t="shared" si="21"/>
        <v>117.19169417294506</v>
      </c>
      <c r="E206" s="7">
        <f t="shared" si="21"/>
        <v>117.19442569353622</v>
      </c>
      <c r="F206" s="7">
        <f t="shared" si="21"/>
        <v>116.62521487118951</v>
      </c>
      <c r="G206" s="7">
        <f t="shared" si="21"/>
        <v>114.65904940576327</v>
      </c>
      <c r="H206" s="7">
        <f t="shared" si="21"/>
        <v>98.984003565382238</v>
      </c>
      <c r="I206" s="7">
        <f t="shared" si="21"/>
        <v>106.97383821951111</v>
      </c>
      <c r="J206" s="7">
        <f t="shared" si="21"/>
        <v>116.87557021189126</v>
      </c>
      <c r="K206" s="7">
        <f t="shared" si="21"/>
        <v>126.67475798261863</v>
      </c>
      <c r="L206" s="7">
        <f t="shared" si="21"/>
        <v>116.4814125925673</v>
      </c>
    </row>
    <row r="207" spans="2:12" x14ac:dyDescent="0.3">
      <c r="B207">
        <v>58</v>
      </c>
      <c r="C207" s="7">
        <f t="shared" si="21"/>
        <v>116.63852904138366</v>
      </c>
      <c r="D207" s="7">
        <f t="shared" si="21"/>
        <v>116.97920890004691</v>
      </c>
      <c r="E207" s="7">
        <f t="shared" si="21"/>
        <v>117.00649631824757</v>
      </c>
      <c r="F207" s="7">
        <f t="shared" si="21"/>
        <v>116.46184139351081</v>
      </c>
      <c r="G207" s="7">
        <f t="shared" si="21"/>
        <v>114.52023182569616</v>
      </c>
      <c r="H207" s="7">
        <f t="shared" si="21"/>
        <v>98.729716795409516</v>
      </c>
      <c r="I207" s="7">
        <f t="shared" si="21"/>
        <v>106.72721616003106</v>
      </c>
      <c r="J207" s="7">
        <f t="shared" si="21"/>
        <v>116.63852904138366</v>
      </c>
      <c r="K207" s="7">
        <f t="shared" si="21"/>
        <v>126.44729770113095</v>
      </c>
      <c r="L207" s="7">
        <f t="shared" si="21"/>
        <v>116.24398818649905</v>
      </c>
    </row>
    <row r="208" spans="2:12" x14ac:dyDescent="0.3">
      <c r="B208">
        <v>59</v>
      </c>
      <c r="C208" s="7">
        <f t="shared" si="21"/>
        <v>116.39873431398132</v>
      </c>
      <c r="D208" s="7">
        <f t="shared" si="21"/>
        <v>116.76397007025393</v>
      </c>
      <c r="E208" s="7">
        <f t="shared" si="21"/>
        <v>116.81581338606421</v>
      </c>
      <c r="F208" s="7">
        <f t="shared" si="21"/>
        <v>116.29571435893743</v>
      </c>
      <c r="G208" s="7">
        <f t="shared" si="21"/>
        <v>114.37866068873441</v>
      </c>
      <c r="H208" s="7">
        <f t="shared" si="21"/>
        <v>98.472260872201161</v>
      </c>
      <c r="I208" s="7">
        <f t="shared" si="21"/>
        <v>106.47760965678162</v>
      </c>
      <c r="J208" s="7">
        <f t="shared" si="21"/>
        <v>116.39873431398132</v>
      </c>
      <c r="K208" s="7">
        <f t="shared" si="21"/>
        <v>126.21731474962547</v>
      </c>
      <c r="L208" s="7">
        <f t="shared" si="21"/>
        <v>116.00380098806096</v>
      </c>
    </row>
    <row r="209" spans="2:12" x14ac:dyDescent="0.3">
      <c r="B209">
        <v>60</v>
      </c>
      <c r="C209" s="7">
        <f t="shared" si="21"/>
        <v>116.1560500313293</v>
      </c>
      <c r="D209" s="7">
        <f t="shared" si="21"/>
        <v>116.54584168521133</v>
      </c>
      <c r="E209" s="7">
        <f t="shared" si="21"/>
        <v>116.62224089863116</v>
      </c>
      <c r="F209" s="7">
        <f t="shared" si="21"/>
        <v>116.12669776911444</v>
      </c>
      <c r="G209" s="7">
        <f t="shared" si="21"/>
        <v>114.23419999652323</v>
      </c>
      <c r="H209" s="7">
        <f t="shared" si="21"/>
        <v>98.211479271072761</v>
      </c>
      <c r="I209" s="7">
        <f t="shared" si="21"/>
        <v>106.22487130789015</v>
      </c>
      <c r="J209" s="7">
        <f t="shared" si="21"/>
        <v>116.1560500313293</v>
      </c>
      <c r="K209" s="7">
        <f t="shared" si="21"/>
        <v>125.98468453326512</v>
      </c>
      <c r="L209" s="7">
        <f t="shared" si="21"/>
        <v>115.76071454275744</v>
      </c>
    </row>
    <row r="210" spans="2:12" x14ac:dyDescent="0.3">
      <c r="B210">
        <v>61</v>
      </c>
      <c r="C210" s="7">
        <f t="shared" si="21"/>
        <v>115.91032986395582</v>
      </c>
      <c r="D210" s="7">
        <f t="shared" si="21"/>
        <v>116.32467741544727</v>
      </c>
      <c r="E210" s="7">
        <f t="shared" si="21"/>
        <v>116.42563252647672</v>
      </c>
      <c r="F210" s="7">
        <f t="shared" si="21"/>
        <v>115.95464529457007</v>
      </c>
      <c r="G210" s="7">
        <f t="shared" si="21"/>
        <v>114.08670341959079</v>
      </c>
      <c r="H210" s="7">
        <f t="shared" si="21"/>
        <v>97.947203576940311</v>
      </c>
      <c r="I210" s="7">
        <f t="shared" si="21"/>
        <v>105.96884251409868</v>
      </c>
      <c r="J210" s="7">
        <f t="shared" si="21"/>
        <v>115.91032986395582</v>
      </c>
      <c r="K210" s="7">
        <f t="shared" si="21"/>
        <v>125.74927299236454</v>
      </c>
      <c r="L210" s="7">
        <f t="shared" si="21"/>
        <v>115.51458203032522</v>
      </c>
    </row>
    <row r="211" spans="2:12" x14ac:dyDescent="0.3">
      <c r="B211">
        <v>62</v>
      </c>
      <c r="C211" s="7">
        <f t="shared" si="21"/>
        <v>115.66141607762223</v>
      </c>
      <c r="D211" s="7">
        <f t="shared" si="21"/>
        <v>116.10031952672314</v>
      </c>
      <c r="E211" s="7">
        <f t="shared" si="21"/>
        <v>116.22583053536223</v>
      </c>
      <c r="F211" s="7">
        <f t="shared" si="21"/>
        <v>115.77939920106569</v>
      </c>
      <c r="G211" s="7">
        <f t="shared" si="21"/>
        <v>113.9360132236985</v>
      </c>
      <c r="H211" s="7">
        <f t="shared" si="21"/>
        <v>97.679252248623271</v>
      </c>
      <c r="I211" s="7">
        <f t="shared" si="21"/>
        <v>105.70935231508813</v>
      </c>
      <c r="J211" s="7">
        <f t="shared" si="21"/>
        <v>115.66141607762223</v>
      </c>
      <c r="K211" s="7">
        <f t="shared" si="21"/>
        <v>125.51093561876574</v>
      </c>
      <c r="L211" s="7">
        <f t="shared" si="21"/>
        <v>115.26524518748241</v>
      </c>
    </row>
    <row r="212" spans="2:12" x14ac:dyDescent="0.3">
      <c r="B212">
        <v>63</v>
      </c>
      <c r="C212" s="7">
        <f t="shared" si="21"/>
        <v>115.4091383164719</v>
      </c>
      <c r="D212" s="7">
        <f t="shared" si="21"/>
        <v>115.87259766318228</v>
      </c>
      <c r="E212" s="7">
        <f t="shared" si="21"/>
        <v>116.022664569431</v>
      </c>
      <c r="F212" s="7">
        <f t="shared" si="21"/>
        <v>115.60078913274465</v>
      </c>
      <c r="G212" s="7">
        <f t="shared" si="21"/>
        <v>113.78195905298969</v>
      </c>
      <c r="H212" s="7">
        <f t="shared" si="21"/>
        <v>97.407429218333391</v>
      </c>
      <c r="I212" s="7">
        <f t="shared" si="21"/>
        <v>105.44621607059342</v>
      </c>
      <c r="J212" s="7">
        <f t="shared" si="21"/>
        <v>115.4091383164719</v>
      </c>
      <c r="K212" s="7">
        <f t="shared" si="21"/>
        <v>125.26951634102069</v>
      </c>
      <c r="L212" s="7">
        <f t="shared" si="21"/>
        <v>115.01253308699604</v>
      </c>
    </row>
    <row r="213" spans="2:12" x14ac:dyDescent="0.3">
      <c r="B213">
        <v>64</v>
      </c>
      <c r="C213" s="7">
        <f t="shared" ref="C213:L228" si="22">$E$15*(C$37*LN((C$46-C111/$E$16)/($E$22*C$40)+1)-$E$23*(C111/$E$16))</f>
        <v>115.15331221942837</v>
      </c>
      <c r="D213" s="7">
        <f t="shared" si="22"/>
        <v>115.64132746374818</v>
      </c>
      <c r="E213" s="7">
        <f t="shared" si="22"/>
        <v>115.81595026760661</v>
      </c>
      <c r="F213" s="7">
        <f t="shared" si="22"/>
        <v>115.41863072853049</v>
      </c>
      <c r="G213" s="7">
        <f t="shared" si="22"/>
        <v>113.62435654638794</v>
      </c>
      <c r="H213" s="7">
        <f t="shared" si="22"/>
        <v>97.13152229924485</v>
      </c>
      <c r="I213" s="7">
        <f t="shared" si="22"/>
        <v>105.17923396078646</v>
      </c>
      <c r="J213" s="7">
        <f t="shared" si="22"/>
        <v>115.15331221942837</v>
      </c>
      <c r="K213" s="7">
        <f t="shared" si="22"/>
        <v>125.02484625680489</v>
      </c>
      <c r="L213" s="7">
        <f t="shared" si="22"/>
        <v>114.75626074943958</v>
      </c>
    </row>
    <row r="214" spans="2:12" x14ac:dyDescent="0.3">
      <c r="B214">
        <v>65</v>
      </c>
      <c r="C214" s="7">
        <f t="shared" si="22"/>
        <v>114.89373784164773</v>
      </c>
      <c r="D214" s="7">
        <f t="shared" si="22"/>
        <v>115.40630898357703</v>
      </c>
      <c r="E214" s="7">
        <f t="shared" si="22"/>
        <v>115.60548768504519</v>
      </c>
      <c r="F214" s="7">
        <f t="shared" si="22"/>
        <v>115.23272404357934</v>
      </c>
      <c r="G214" s="7">
        <f t="shared" si="22"/>
        <v>113.46300575904942</v>
      </c>
      <c r="H214" s="7">
        <f t="shared" si="22"/>
        <v>96.851301368695317</v>
      </c>
      <c r="I214" s="7">
        <f t="shared" si="22"/>
        <v>104.90818927536625</v>
      </c>
      <c r="J214" s="7">
        <f t="shared" si="22"/>
        <v>114.89373784164773</v>
      </c>
      <c r="K214" s="7">
        <f t="shared" si="22"/>
        <v>124.77674218673177</v>
      </c>
      <c r="L214" s="7">
        <f t="shared" si="22"/>
        <v>114.49622755935083</v>
      </c>
    </row>
    <row r="215" spans="2:12" x14ac:dyDescent="0.3">
      <c r="B215">
        <v>66</v>
      </c>
      <c r="C215" s="7">
        <f t="shared" si="22"/>
        <v>114.63019784710623</v>
      </c>
      <c r="D215" s="7">
        <f t="shared" si="22"/>
        <v>115.16732488664505</v>
      </c>
      <c r="E215" s="7">
        <f t="shared" si="22"/>
        <v>115.39105948572293</v>
      </c>
      <c r="F215" s="7">
        <f t="shared" si="22"/>
        <v>115.04285174186749</v>
      </c>
      <c r="G215" s="7">
        <f t="shared" si="22"/>
        <v>113.29768935495035</v>
      </c>
      <c r="H215" s="7">
        <f t="shared" si="22"/>
        <v>96.566516287979525</v>
      </c>
      <c r="I215" s="7">
        <f t="shared" si="22"/>
        <v>104.63284645459456</v>
      </c>
      <c r="J215" s="7">
        <f t="shared" si="22"/>
        <v>114.63019784710623</v>
      </c>
      <c r="K215" s="7">
        <f t="shared" si="22"/>
        <v>124.52500501849246</v>
      </c>
      <c r="L215" s="7">
        <f t="shared" si="22"/>
        <v>114.23221545175747</v>
      </c>
    </row>
    <row r="216" spans="2:12" x14ac:dyDescent="0.3">
      <c r="B216">
        <v>67</v>
      </c>
      <c r="C216" s="7">
        <f t="shared" si="22"/>
        <v>114.36245543131258</v>
      </c>
      <c r="D216" s="7">
        <f t="shared" si="22"/>
        <v>114.92413836846093</v>
      </c>
      <c r="E216" s="7">
        <f t="shared" si="22"/>
        <v>115.17242886514862</v>
      </c>
      <c r="F216" s="7">
        <f t="shared" si="22"/>
        <v>114.8487770189036</v>
      </c>
      <c r="G216" s="7">
        <f t="shared" si="22"/>
        <v>113.1281705295995</v>
      </c>
      <c r="H216" s="7">
        <f t="shared" si="22"/>
        <v>96.276894511535048</v>
      </c>
      <c r="I216" s="7">
        <f t="shared" si="22"/>
        <v>104.35294883782653</v>
      </c>
      <c r="J216" s="7">
        <f t="shared" si="22"/>
        <v>114.36245543131258</v>
      </c>
      <c r="K216" s="7">
        <f t="shared" si="22"/>
        <v>124.26941780374956</v>
      </c>
      <c r="L216" s="7">
        <f t="shared" si="22"/>
        <v>113.963986827922</v>
      </c>
    </row>
    <row r="217" spans="2:12" x14ac:dyDescent="0.3">
      <c r="B217">
        <v>68</v>
      </c>
      <c r="C217" s="7">
        <f t="shared" si="22"/>
        <v>114.09025192429679</v>
      </c>
      <c r="D217" s="7">
        <f t="shared" si="22"/>
        <v>114.67649075905472</v>
      </c>
      <c r="E217" s="7">
        <f t="shared" si="22"/>
        <v>114.94933715335222</v>
      </c>
      <c r="F217" s="7">
        <f t="shared" si="22"/>
        <v>114.65024120471774</v>
      </c>
      <c r="G217" s="7">
        <f t="shared" si="22"/>
        <v>112.95419061302691</v>
      </c>
      <c r="H217" s="7">
        <f t="shared" si="22"/>
        <v>95.982138328148736</v>
      </c>
      <c r="I217" s="7">
        <f t="shared" si="22"/>
        <v>104.06821606550933</v>
      </c>
      <c r="J217" s="7">
        <f t="shared" si="22"/>
        <v>114.09025192429679</v>
      </c>
      <c r="K217" s="7">
        <f t="shared" si="22"/>
        <v>124.00974356211634</v>
      </c>
      <c r="L217" s="7">
        <f t="shared" si="22"/>
        <v>113.69128215029119</v>
      </c>
    </row>
    <row r="218" spans="2:12" x14ac:dyDescent="0.3">
      <c r="B218">
        <v>69</v>
      </c>
      <c r="C218" s="7">
        <f t="shared" si="22"/>
        <v>113.81330401294288</v>
      </c>
      <c r="D218" s="7">
        <f t="shared" si="22"/>
        <v>114.42409874531036</v>
      </c>
      <c r="E218" s="7">
        <f t="shared" si="22"/>
        <v>114.72150103721778</v>
      </c>
      <c r="F218" s="7">
        <f t="shared" si="22"/>
        <v>114.44696098619391</v>
      </c>
      <c r="G218" s="7">
        <f t="shared" si="22"/>
        <v>112.7754662921166</v>
      </c>
      <c r="H218" s="7">
        <f t="shared" si="22"/>
        <v>95.681921664054002</v>
      </c>
      <c r="I218" s="7">
        <f t="shared" si="22"/>
        <v>103.77834106860624</v>
      </c>
      <c r="J218" s="7">
        <f t="shared" si="22"/>
        <v>113.81330401294288</v>
      </c>
      <c r="K218" s="7">
        <f t="shared" si="22"/>
        <v>123.74572273639794</v>
      </c>
      <c r="L218" s="7">
        <f t="shared" si="22"/>
        <v>113.41381715551209</v>
      </c>
    </row>
    <row r="219" spans="2:12" x14ac:dyDescent="0.3">
      <c r="B219">
        <v>70</v>
      </c>
      <c r="C219" s="7">
        <f t="shared" si="22"/>
        <v>113.5313005077395</v>
      </c>
      <c r="D219" s="7">
        <f t="shared" si="22"/>
        <v>114.16665113771663</v>
      </c>
      <c r="E219" s="7">
        <f t="shared" si="22"/>
        <v>114.48860932723396</v>
      </c>
      <c r="F219" s="7">
        <f t="shared" si="22"/>
        <v>114.23862517382078</v>
      </c>
      <c r="G219" s="7">
        <f t="shared" si="22"/>
        <v>112.59168637735728</v>
      </c>
      <c r="H219" s="7">
        <f t="shared" si="22"/>
        <v>95.375886361684877</v>
      </c>
      <c r="I219" s="7">
        <f t="shared" si="22"/>
        <v>103.4829865642381</v>
      </c>
      <c r="J219" s="7">
        <f t="shared" si="22"/>
        <v>113.5313005077395</v>
      </c>
      <c r="K219" s="7">
        <f t="shared" si="22"/>
        <v>123.47707023045143</v>
      </c>
      <c r="L219" s="7">
        <f t="shared" si="22"/>
        <v>113.13127961033871</v>
      </c>
    </row>
    <row r="220" spans="2:12" x14ac:dyDescent="0.3">
      <c r="B220">
        <v>71</v>
      </c>
      <c r="C220" s="7">
        <f t="shared" si="22"/>
        <v>113.24389856123109</v>
      </c>
      <c r="D220" s="7">
        <f t="shared" si="22"/>
        <v>113.90380508881785</v>
      </c>
      <c r="E220" s="7">
        <f t="shared" si="22"/>
        <v>114.25031917594514</v>
      </c>
      <c r="F220" s="7">
        <f t="shared" si="22"/>
        <v>114.02489092014279</v>
      </c>
      <c r="G220" s="7">
        <f t="shared" si="22"/>
        <v>112.40250802129346</v>
      </c>
      <c r="H220" s="7">
        <f t="shared" si="22"/>
        <v>95.063637827375516</v>
      </c>
      <c r="I220" s="7">
        <f t="shared" si="22"/>
        <v>103.18178095704992</v>
      </c>
      <c r="J220" s="7">
        <f t="shared" si="22"/>
        <v>113.24389856123109</v>
      </c>
      <c r="K220" s="7">
        <f t="shared" si="22"/>
        <v>123.20347194472123</v>
      </c>
      <c r="L220" s="7">
        <f t="shared" si="22"/>
        <v>112.84332551739944</v>
      </c>
    </row>
    <row r="221" spans="2:12" x14ac:dyDescent="0.3">
      <c r="B221">
        <v>72</v>
      </c>
      <c r="C221" s="7">
        <f t="shared" si="22"/>
        <v>112.9507192226625</v>
      </c>
      <c r="D221" s="7">
        <f t="shared" si="22"/>
        <v>113.63518164785894</v>
      </c>
      <c r="E221" s="7">
        <f t="shared" si="22"/>
        <v>114.00625163259627</v>
      </c>
      <c r="F221" s="7">
        <f t="shared" si="22"/>
        <v>113.80537927440483</v>
      </c>
      <c r="G221" s="7">
        <f t="shared" si="22"/>
        <v>112.20755227317002</v>
      </c>
      <c r="H221" s="7">
        <f t="shared" si="22"/>
        <v>94.744739915064102</v>
      </c>
      <c r="I221" s="7">
        <f t="shared" si="22"/>
        <v>102.87431352111076</v>
      </c>
      <c r="J221" s="7">
        <f t="shared" si="22"/>
        <v>112.9507192226625</v>
      </c>
      <c r="K221" s="7">
        <f t="shared" si="22"/>
        <v>122.92458070362873</v>
      </c>
      <c r="L221" s="7">
        <f t="shared" si="22"/>
        <v>112.54957465493213</v>
      </c>
    </row>
    <row r="222" spans="2:12" x14ac:dyDescent="0.3">
      <c r="B222">
        <v>73</v>
      </c>
      <c r="C222" s="7">
        <f t="shared" si="22"/>
        <v>112.65134218388592</v>
      </c>
      <c r="D222" s="7">
        <f t="shared" si="22"/>
        <v>113.36036050669207</v>
      </c>
      <c r="E222" s="7">
        <f t="shared" si="22"/>
        <v>113.75598638903951</v>
      </c>
      <c r="F222" s="7">
        <f t="shared" si="22"/>
        <v>113.57966992845915</v>
      </c>
      <c r="G222" s="7">
        <f t="shared" si="22"/>
        <v>112.00639882483921</v>
      </c>
      <c r="H222" s="7">
        <f t="shared" si="22"/>
        <v>94.418708879195975</v>
      </c>
      <c r="I222" s="7">
        <f t="shared" si="22"/>
        <v>102.56012870526268</v>
      </c>
      <c r="J222" s="7">
        <f t="shared" si="22"/>
        <v>112.65134218388592</v>
      </c>
      <c r="K222" s="7">
        <f t="shared" si="22"/>
        <v>122.64001144203694</v>
      </c>
      <c r="L222" s="7">
        <f t="shared" si="22"/>
        <v>112.24960530506848</v>
      </c>
    </row>
    <row r="223" spans="2:12" x14ac:dyDescent="0.3">
      <c r="B223">
        <v>74</v>
      </c>
      <c r="C223" s="7">
        <f t="shared" si="22"/>
        <v>112.34529953328196</v>
      </c>
      <c r="D223" s="7">
        <f t="shared" si="22"/>
        <v>113.07887375369788</v>
      </c>
      <c r="E223" s="7">
        <f t="shared" si="22"/>
        <v>113.49905553365552</v>
      </c>
      <c r="F223" s="7">
        <f t="shared" si="22"/>
        <v>113.34729497068636</v>
      </c>
      <c r="G223" s="7">
        <f t="shared" si="22"/>
        <v>111.7985797646818</v>
      </c>
      <c r="H223" s="7">
        <f t="shared" si="22"/>
        <v>94.085006185919624</v>
      </c>
      <c r="I223" s="7">
        <f t="shared" si="22"/>
        <v>102.23871936330572</v>
      </c>
      <c r="J223" s="7">
        <f t="shared" si="22"/>
        <v>112.34529953328196</v>
      </c>
      <c r="K223" s="7">
        <f t="shared" si="22"/>
        <v>122.34933548290805</v>
      </c>
      <c r="L223" s="7">
        <f t="shared" si="22"/>
        <v>111.94294798680589</v>
      </c>
    </row>
    <row r="224" spans="2:12" x14ac:dyDescent="0.3">
      <c r="B224">
        <v>75</v>
      </c>
      <c r="C224" s="7">
        <f t="shared" si="22"/>
        <v>112.03206828409833</v>
      </c>
      <c r="D224" s="7">
        <f t="shared" si="22"/>
        <v>112.79019840212408</v>
      </c>
      <c r="E224" s="7">
        <f t="shared" si="22"/>
        <v>113.23493607969196</v>
      </c>
      <c r="F224" s="7">
        <f t="shared" si="22"/>
        <v>113.10773141433417</v>
      </c>
      <c r="G224" s="7">
        <f t="shared" si="22"/>
        <v>111.58357210594546</v>
      </c>
      <c r="H224" s="7">
        <f t="shared" si="22"/>
        <v>93.743029913722566</v>
      </c>
      <c r="I224" s="7">
        <f t="shared" si="22"/>
        <v>101.90951865583452</v>
      </c>
      <c r="J224" s="7">
        <f t="shared" si="22"/>
        <v>112.03206828409833</v>
      </c>
      <c r="K224" s="7">
        <f t="shared" si="22"/>
        <v>122.05207369214372</v>
      </c>
      <c r="L224" s="7">
        <f t="shared" si="22"/>
        <v>111.62907795928588</v>
      </c>
    </row>
    <row r="225" spans="2:12" x14ac:dyDescent="0.3">
      <c r="B225">
        <v>76</v>
      </c>
      <c r="C225" s="7">
        <f t="shared" si="22"/>
        <v>111.71106137680208</v>
      </c>
      <c r="D225" s="7">
        <f t="shared" si="22"/>
        <v>112.49374739243768</v>
      </c>
      <c r="E225" s="7">
        <f t="shared" si="22"/>
        <v>112.96304096761595</v>
      </c>
      <c r="F225" s="7">
        <f t="shared" si="22"/>
        <v>112.86039219986975</v>
      </c>
      <c r="G225" s="7">
        <f t="shared" si="22"/>
        <v>111.36078878909738</v>
      </c>
      <c r="H225" s="7">
        <f t="shared" si="22"/>
        <v>93.392104397762154</v>
      </c>
      <c r="I225" s="7">
        <f t="shared" si="22"/>
        <v>101.57189029813443</v>
      </c>
      <c r="J225" s="7">
        <f t="shared" si="22"/>
        <v>111.71106137680208</v>
      </c>
      <c r="K225" s="7">
        <f t="shared" si="22"/>
        <v>121.74768823539414</v>
      </c>
      <c r="L225" s="7">
        <f t="shared" si="22"/>
        <v>111.30740619396819</v>
      </c>
    </row>
    <row r="226" spans="2:12" x14ac:dyDescent="0.3">
      <c r="B226">
        <v>77</v>
      </c>
      <c r="C226" s="7">
        <f t="shared" si="22"/>
        <v>111.38161676546494</v>
      </c>
      <c r="D226" s="7">
        <f t="shared" si="22"/>
        <v>112.18885867871047</v>
      </c>
      <c r="E226" s="7">
        <f t="shared" si="22"/>
        <v>112.6827081514992</v>
      </c>
      <c r="F226" s="7">
        <f t="shared" si="22"/>
        <v>112.60461528136476</v>
      </c>
      <c r="G226" s="7">
        <f t="shared" si="22"/>
        <v>111.12956776820947</v>
      </c>
      <c r="H226" s="7">
        <f t="shared" si="22"/>
        <v>93.031467669051892</v>
      </c>
      <c r="I226" s="7">
        <f t="shared" si="22"/>
        <v>101.22511673145546</v>
      </c>
      <c r="J226" s="7">
        <f t="shared" si="22"/>
        <v>111.38161676546494</v>
      </c>
      <c r="K226" s="7">
        <f t="shared" si="22"/>
        <v>121.43557257955401</v>
      </c>
      <c r="L226" s="7">
        <f t="shared" si="22"/>
        <v>110.97726842441165</v>
      </c>
    </row>
    <row r="227" spans="2:12" x14ac:dyDescent="0.3">
      <c r="B227">
        <v>78</v>
      </c>
      <c r="C227" s="7">
        <f t="shared" si="22"/>
        <v>111.04298407673423</v>
      </c>
      <c r="D227" s="7">
        <f t="shared" si="22"/>
        <v>111.87478188758978</v>
      </c>
      <c r="E227" s="7">
        <f t="shared" si="22"/>
        <v>112.39318725798907</v>
      </c>
      <c r="F227" s="7">
        <f t="shared" si="22"/>
        <v>112.33965028546662</v>
      </c>
      <c r="G227" s="7">
        <f t="shared" si="22"/>
        <v>110.88915866992912</v>
      </c>
      <c r="H227" s="7">
        <f t="shared" si="22"/>
        <v>92.660256099861584</v>
      </c>
      <c r="I227" s="7">
        <f t="shared" si="22"/>
        <v>100.86838466333279</v>
      </c>
      <c r="J227" s="7">
        <f t="shared" si="22"/>
        <v>111.04298407673423</v>
      </c>
      <c r="K227" s="7">
        <f t="shared" si="22"/>
        <v>121.11503927038456</v>
      </c>
      <c r="L227" s="7">
        <f t="shared" si="22"/>
        <v>110.63791176049897</v>
      </c>
    </row>
    <row r="228" spans="2:12" x14ac:dyDescent="0.3">
      <c r="B228">
        <v>79</v>
      </c>
      <c r="C228" s="7">
        <f t="shared" si="22"/>
        <v>110.69430816321611</v>
      </c>
      <c r="D228" s="7">
        <f t="shared" si="22"/>
        <v>111.55066187168174</v>
      </c>
      <c r="E228" s="7">
        <f t="shared" si="22"/>
        <v>112.09362313969176</v>
      </c>
      <c r="F228" s="7">
        <f t="shared" si="22"/>
        <v>112.06464206478162</v>
      </c>
      <c r="G228" s="7">
        <f t="shared" si="22"/>
        <v>110.63870634686262</v>
      </c>
      <c r="H228" s="7">
        <f t="shared" si="22"/>
        <v>92.277485474801651</v>
      </c>
      <c r="I228" s="7">
        <f t="shared" si="22"/>
        <v>100.5007672419142</v>
      </c>
      <c r="J228" s="7">
        <f t="shared" si="22"/>
        <v>110.69430816321611</v>
      </c>
      <c r="K228" s="7">
        <f t="shared" si="22"/>
        <v>120.78530486495225</v>
      </c>
      <c r="L228" s="7">
        <f t="shared" si="22"/>
        <v>110.28847818665794</v>
      </c>
    </row>
    <row r="229" spans="2:12" x14ac:dyDescent="0.3">
      <c r="B229">
        <v>80</v>
      </c>
      <c r="C229" s="7">
        <f t="shared" ref="C229:L244" si="23">$E$15*(C$37*LN((C$46-C127/$E$16)/($E$22*C$40)+1)-$E$23*(C127/$E$16))</f>
        <v>110.33460864120954</v>
      </c>
      <c r="D229" s="7">
        <f t="shared" si="23"/>
        <v>111.21551824728536</v>
      </c>
      <c r="E229" s="7">
        <f t="shared" si="23"/>
        <v>111.78303541290624</v>
      </c>
      <c r="F229" s="7">
        <f t="shared" si="23"/>
        <v>111.7786102356087</v>
      </c>
      <c r="G229" s="7">
        <f t="shared" si="23"/>
        <v>110.3772304153092</v>
      </c>
      <c r="H229" s="7">
        <f t="shared" si="23"/>
        <v>91.882027440173374</v>
      </c>
      <c r="I229" s="7">
        <f t="shared" si="23"/>
        <v>100.12120187792513</v>
      </c>
      <c r="J229" s="7">
        <f t="shared" si="23"/>
        <v>110.33460864120954</v>
      </c>
      <c r="K229" s="7">
        <f t="shared" si="23"/>
        <v>120.44547118513218</v>
      </c>
      <c r="L229" s="7">
        <f t="shared" si="23"/>
        <v>109.92798403096452</v>
      </c>
    </row>
    <row r="230" spans="2:12" x14ac:dyDescent="0.3">
      <c r="B230">
        <v>81</v>
      </c>
      <c r="C230" s="7">
        <f t="shared" si="23"/>
        <v>109.9627541755505</v>
      </c>
      <c r="D230" s="7">
        <f t="shared" si="23"/>
        <v>110.86821967923662</v>
      </c>
      <c r="E230" s="7">
        <f t="shared" si="23"/>
        <v>111.46029274246854</v>
      </c>
      <c r="F230" s="7">
        <f t="shared" si="23"/>
        <v>111.48042346278396</v>
      </c>
      <c r="G230" s="7">
        <f t="shared" si="23"/>
        <v>110.10359954010511</v>
      </c>
      <c r="H230" s="7">
        <f t="shared" si="23"/>
        <v>91.472579907607411</v>
      </c>
      <c r="I230" s="7">
        <f t="shared" si="23"/>
        <v>99.728462373286121</v>
      </c>
      <c r="J230" s="7">
        <f t="shared" si="23"/>
        <v>109.9627541755505</v>
      </c>
      <c r="K230" s="7">
        <f t="shared" si="23"/>
        <v>120.09450175867856</v>
      </c>
      <c r="L230" s="7">
        <f t="shared" si="23"/>
        <v>109.55529416373793</v>
      </c>
    </row>
    <row r="231" spans="2:12" x14ac:dyDescent="0.3">
      <c r="B231">
        <v>82</v>
      </c>
      <c r="C231" s="7">
        <f t="shared" si="23"/>
        <v>109.57742980540489</v>
      </c>
      <c r="D231" s="7">
        <f t="shared" si="23"/>
        <v>110.50745120670142</v>
      </c>
      <c r="E231" s="7">
        <f t="shared" si="23"/>
        <v>111.12408016754461</v>
      </c>
      <c r="F231" s="7">
        <f t="shared" si="23"/>
        <v>111.16876678547339</v>
      </c>
      <c r="G231" s="7">
        <f t="shared" si="23"/>
        <v>109.81649876041644</v>
      </c>
      <c r="H231" s="7">
        <f t="shared" si="23"/>
        <v>91.04762944831667</v>
      </c>
      <c r="I231" s="7">
        <f t="shared" si="23"/>
        <v>99.321123507160479</v>
      </c>
      <c r="J231" s="7">
        <f t="shared" si="23"/>
        <v>109.57742980540489</v>
      </c>
      <c r="K231" s="7">
        <f t="shared" si="23"/>
        <v>119.73119188476343</v>
      </c>
      <c r="L231" s="7">
        <f t="shared" si="23"/>
        <v>109.16908921374383</v>
      </c>
    </row>
    <row r="232" spans="2:12" x14ac:dyDescent="0.3">
      <c r="B232">
        <v>83</v>
      </c>
      <c r="C232" s="7">
        <f t="shared" si="23"/>
        <v>109.17709492113131</v>
      </c>
      <c r="D232" s="7">
        <f t="shared" si="23"/>
        <v>110.13167222003841</v>
      </c>
      <c r="E232" s="7">
        <f t="shared" si="23"/>
        <v>110.77285707849315</v>
      </c>
      <c r="F232" s="7">
        <f t="shared" si="23"/>
        <v>110.84209959403582</v>
      </c>
      <c r="G232" s="7">
        <f t="shared" si="23"/>
        <v>109.5143874666022</v>
      </c>
      <c r="H232" s="7">
        <f t="shared" si="23"/>
        <v>90.605402927379274</v>
      </c>
      <c r="I232" s="7">
        <f t="shared" si="23"/>
        <v>98.897515489159929</v>
      </c>
      <c r="J232" s="7">
        <f t="shared" si="23"/>
        <v>109.17709492113131</v>
      </c>
      <c r="K232" s="7">
        <f t="shared" si="23"/>
        <v>119.35413013449676</v>
      </c>
      <c r="L232" s="7">
        <f t="shared" si="23"/>
        <v>108.76782340411083</v>
      </c>
    </row>
    <row r="233" spans="2:12" x14ac:dyDescent="0.3">
      <c r="B233">
        <v>84</v>
      </c>
      <c r="C233" s="7">
        <f t="shared" si="23"/>
        <v>108.75992848637084</v>
      </c>
      <c r="D233" s="7">
        <f t="shared" si="23"/>
        <v>109.73906168288865</v>
      </c>
      <c r="E233" s="7">
        <f t="shared" si="23"/>
        <v>110.40480243895522</v>
      </c>
      <c r="F233" s="7">
        <f t="shared" si="23"/>
        <v>110.49860085211238</v>
      </c>
      <c r="G233" s="7">
        <f t="shared" si="23"/>
        <v>109.19544462230391</v>
      </c>
      <c r="H233" s="7">
        <f t="shared" si="23"/>
        <v>90.143804458161711</v>
      </c>
      <c r="I233" s="7">
        <f t="shared" si="23"/>
        <v>98.455664588284264</v>
      </c>
      <c r="J233" s="7">
        <f t="shared" si="23"/>
        <v>108.75992848637084</v>
      </c>
      <c r="K233" s="7">
        <f t="shared" si="23"/>
        <v>118.9616481661664</v>
      </c>
      <c r="L233" s="7">
        <f t="shared" si="23"/>
        <v>108.34966959069405</v>
      </c>
    </row>
    <row r="234" spans="2:12" x14ac:dyDescent="0.3">
      <c r="B234">
        <v>85</v>
      </c>
      <c r="C234" s="7">
        <f t="shared" si="23"/>
        <v>108.32375655786289</v>
      </c>
      <c r="D234" s="7">
        <f t="shared" si="23"/>
        <v>109.32744565199171</v>
      </c>
      <c r="E234" s="7">
        <f t="shared" si="23"/>
        <v>110.01774230567037</v>
      </c>
      <c r="F234" s="7">
        <f t="shared" si="23"/>
        <v>110.13609661644274</v>
      </c>
      <c r="G234" s="7">
        <f t="shared" si="23"/>
        <v>108.85749628426159</v>
      </c>
      <c r="H234" s="7">
        <f t="shared" si="23"/>
        <v>89.660331982653389</v>
      </c>
      <c r="I234" s="7">
        <f t="shared" si="23"/>
        <v>97.99321457524448</v>
      </c>
      <c r="J234" s="7">
        <f t="shared" si="23"/>
        <v>108.32375655786289</v>
      </c>
      <c r="K234" s="7">
        <f t="shared" si="23"/>
        <v>118.55175432254727</v>
      </c>
      <c r="L234" s="7">
        <f t="shared" si="23"/>
        <v>107.91244653879163</v>
      </c>
    </row>
    <row r="235" spans="2:12" x14ac:dyDescent="0.3">
      <c r="B235">
        <v>86</v>
      </c>
      <c r="C235" s="7">
        <f t="shared" si="23"/>
        <v>107.86595476083573</v>
      </c>
      <c r="D235" s="7">
        <f t="shared" si="23"/>
        <v>108.89419975257576</v>
      </c>
      <c r="E235" s="7">
        <f t="shared" si="23"/>
        <v>109.60905230386706</v>
      </c>
      <c r="F235" s="7">
        <f t="shared" si="23"/>
        <v>109.75196251225549</v>
      </c>
      <c r="G235" s="7">
        <f t="shared" si="23"/>
        <v>108.49791807770418</v>
      </c>
      <c r="H235" s="7">
        <f t="shared" si="23"/>
        <v>89.151965027403833</v>
      </c>
      <c r="I235" s="7">
        <f t="shared" si="23"/>
        <v>97.507321020375045</v>
      </c>
      <c r="J235" s="7">
        <f t="shared" si="23"/>
        <v>107.86595476083573</v>
      </c>
      <c r="K235" s="7">
        <f t="shared" si="23"/>
        <v>118.12204428377031</v>
      </c>
      <c r="L235" s="7">
        <f t="shared" si="23"/>
        <v>107.45352107143567</v>
      </c>
    </row>
    <row r="236" spans="2:12" x14ac:dyDescent="0.3">
      <c r="B236">
        <v>87</v>
      </c>
      <c r="C236" s="7">
        <f t="shared" si="23"/>
        <v>107.38331455950573</v>
      </c>
      <c r="D236" s="7">
        <f t="shared" si="23"/>
        <v>108.43611544885727</v>
      </c>
      <c r="E236" s="7">
        <f t="shared" si="23"/>
        <v>109.17552389776169</v>
      </c>
      <c r="F236" s="7">
        <f t="shared" si="23"/>
        <v>109.34299000376726</v>
      </c>
      <c r="G236" s="7">
        <f t="shared" si="23"/>
        <v>108.113501466849</v>
      </c>
      <c r="H236" s="7">
        <f t="shared" si="23"/>
        <v>88.615010790142222</v>
      </c>
      <c r="I236" s="7">
        <f t="shared" si="23"/>
        <v>96.99450635086059</v>
      </c>
      <c r="J236" s="7">
        <f t="shared" si="23"/>
        <v>107.38331455950573</v>
      </c>
      <c r="K236" s="7">
        <f t="shared" si="23"/>
        <v>117.6695785510954</v>
      </c>
      <c r="L236" s="7">
        <f t="shared" si="23"/>
        <v>106.96967389136084</v>
      </c>
    </row>
    <row r="237" spans="2:12" x14ac:dyDescent="0.3">
      <c r="B237">
        <v>88</v>
      </c>
      <c r="C237" s="7">
        <f t="shared" si="23"/>
        <v>106.87185589107716</v>
      </c>
      <c r="D237" s="7">
        <f t="shared" si="23"/>
        <v>107.94921267804065</v>
      </c>
      <c r="E237" s="7">
        <f t="shared" si="23"/>
        <v>108.71317702455886</v>
      </c>
      <c r="F237" s="7">
        <f t="shared" si="23"/>
        <v>108.90519902818285</v>
      </c>
      <c r="G237" s="7">
        <f t="shared" si="23"/>
        <v>107.70026638890168</v>
      </c>
      <c r="H237" s="7">
        <f t="shared" si="23"/>
        <v>88.044888494507063</v>
      </c>
      <c r="I237" s="7">
        <f t="shared" si="23"/>
        <v>96.45045677402068</v>
      </c>
      <c r="J237" s="7">
        <f t="shared" si="23"/>
        <v>106.87185589107716</v>
      </c>
      <c r="K237" s="7">
        <f t="shared" si="23"/>
        <v>117.19071079162725</v>
      </c>
      <c r="L237" s="7">
        <f t="shared" si="23"/>
        <v>106.45691158657546</v>
      </c>
    </row>
    <row r="238" spans="2:12" x14ac:dyDescent="0.3">
      <c r="B238">
        <v>89</v>
      </c>
      <c r="C238" s="7">
        <f t="shared" si="23"/>
        <v>106.32655807906164</v>
      </c>
      <c r="D238" s="7">
        <f t="shared" si="23"/>
        <v>107.42847076363755</v>
      </c>
      <c r="E238" s="7">
        <f t="shared" si="23"/>
        <v>108.21699100777042</v>
      </c>
      <c r="F238" s="7">
        <f t="shared" si="23"/>
        <v>108.43356890901458</v>
      </c>
      <c r="G238" s="7">
        <f t="shared" si="23"/>
        <v>107.2531921673755</v>
      </c>
      <c r="H238" s="7">
        <f t="shared" si="23"/>
        <v>87.435819689942832</v>
      </c>
      <c r="I238" s="7">
        <f t="shared" si="23"/>
        <v>95.86973062760238</v>
      </c>
      <c r="J238" s="7">
        <f t="shared" si="23"/>
        <v>106.32655807906164</v>
      </c>
      <c r="K238" s="7">
        <f t="shared" si="23"/>
        <v>116.6808413146635</v>
      </c>
      <c r="L238" s="7">
        <f t="shared" si="23"/>
        <v>105.91019664115979</v>
      </c>
    </row>
    <row r="239" spans="2:12" x14ac:dyDescent="0.3">
      <c r="B239">
        <v>90</v>
      </c>
      <c r="C239" s="7">
        <f t="shared" si="23"/>
        <v>105.74096213159056</v>
      </c>
      <c r="D239" s="7">
        <f t="shared" si="23"/>
        <v>106.8674307137796</v>
      </c>
      <c r="E239" s="7">
        <f t="shared" si="23"/>
        <v>107.68050685552821</v>
      </c>
      <c r="F239" s="7">
        <f t="shared" si="23"/>
        <v>107.92164065439466</v>
      </c>
      <c r="G239" s="7">
        <f t="shared" si="23"/>
        <v>106.76581981040432</v>
      </c>
      <c r="H239" s="7">
        <f t="shared" si="23"/>
        <v>86.780370524649015</v>
      </c>
      <c r="I239" s="7">
        <f t="shared" si="23"/>
        <v>95.245327330645566</v>
      </c>
      <c r="J239" s="7">
        <f t="shared" si="23"/>
        <v>105.74096213159056</v>
      </c>
      <c r="K239" s="7">
        <f t="shared" si="23"/>
        <v>116.13405271745691</v>
      </c>
      <c r="L239" s="7">
        <f t="shared" si="23"/>
        <v>105.32304839968046</v>
      </c>
    </row>
    <row r="240" spans="2:12" x14ac:dyDescent="0.3">
      <c r="B240">
        <v>91</v>
      </c>
      <c r="C240" s="7">
        <f t="shared" si="23"/>
        <v>105.10656278384131</v>
      </c>
      <c r="D240" s="7">
        <f t="shared" si="23"/>
        <v>106.25758726364433</v>
      </c>
      <c r="E240" s="7">
        <f t="shared" si="23"/>
        <v>107.09521930301014</v>
      </c>
      <c r="F240" s="7">
        <f t="shared" si="23"/>
        <v>107.36090899950187</v>
      </c>
      <c r="G240" s="7">
        <f t="shared" si="23"/>
        <v>106.22964405316905</v>
      </c>
      <c r="H240" s="7">
        <f t="shared" si="23"/>
        <v>86.06875202859753</v>
      </c>
      <c r="I240" s="7">
        <f t="shared" si="23"/>
        <v>94.568028448421799</v>
      </c>
      <c r="J240" s="7">
        <f t="shared" si="23"/>
        <v>105.10656278384131</v>
      </c>
      <c r="K240" s="7">
        <f t="shared" si="23"/>
        <v>115.54255290513399</v>
      </c>
      <c r="L240" s="7">
        <f t="shared" si="23"/>
        <v>104.68693307051696</v>
      </c>
    </row>
    <row r="241" spans="1:12" x14ac:dyDescent="0.3">
      <c r="B241">
        <v>92</v>
      </c>
      <c r="C241" s="7">
        <f t="shared" si="23"/>
        <v>104.41184095286506</v>
      </c>
      <c r="D241" s="7">
        <f t="shared" si="23"/>
        <v>105.58742133028329</v>
      </c>
      <c r="E241" s="7">
        <f t="shared" si="23"/>
        <v>106.44960926726831</v>
      </c>
      <c r="F241" s="7">
        <f t="shared" si="23"/>
        <v>106.73985486138935</v>
      </c>
      <c r="G241" s="7">
        <f t="shared" si="23"/>
        <v>105.63314581272614</v>
      </c>
      <c r="H241" s="7">
        <f t="shared" si="23"/>
        <v>85.28770653618767</v>
      </c>
      <c r="I241" s="7">
        <f t="shared" si="23"/>
        <v>93.825349018210261</v>
      </c>
      <c r="J241" s="7">
        <f t="shared" si="23"/>
        <v>104.41184095286506</v>
      </c>
      <c r="K241" s="7">
        <f t="shared" si="23"/>
        <v>114.8957886745828</v>
      </c>
      <c r="L241" s="7">
        <f t="shared" si="23"/>
        <v>103.99029293552722</v>
      </c>
    </row>
    <row r="242" spans="1:12" x14ac:dyDescent="0.3">
      <c r="B242">
        <v>93</v>
      </c>
      <c r="C242" s="7">
        <f t="shared" si="23"/>
        <v>103.64064671539128</v>
      </c>
      <c r="D242" s="7">
        <f t="shared" si="23"/>
        <v>104.84078299042639</v>
      </c>
      <c r="E242" s="7">
        <f t="shared" si="23"/>
        <v>105.72752682503354</v>
      </c>
      <c r="F242" s="7">
        <f t="shared" si="23"/>
        <v>106.04232831678965</v>
      </c>
      <c r="G242" s="7">
        <f t="shared" si="23"/>
        <v>104.96017516581327</v>
      </c>
      <c r="H242" s="7">
        <f t="shared" si="23"/>
        <v>84.418646605946137</v>
      </c>
      <c r="I242" s="7">
        <f t="shared" si="23"/>
        <v>92.999784939142529</v>
      </c>
      <c r="J242" s="7">
        <f t="shared" si="23"/>
        <v>103.64064671539128</v>
      </c>
      <c r="K242" s="7">
        <f t="shared" si="23"/>
        <v>114.17896428023259</v>
      </c>
      <c r="L242" s="7">
        <f t="shared" si="23"/>
        <v>103.21692390433297</v>
      </c>
    </row>
    <row r="243" spans="1:12" x14ac:dyDescent="0.3">
      <c r="B243">
        <v>94</v>
      </c>
      <c r="C243" s="7">
        <f t="shared" si="23"/>
        <v>102.76932733369914</v>
      </c>
      <c r="D243" s="7">
        <f t="shared" si="23"/>
        <v>103.99401950635379</v>
      </c>
      <c r="E243" s="7">
        <f t="shared" si="23"/>
        <v>104.90531923858734</v>
      </c>
      <c r="F243" s="7">
        <f t="shared" si="23"/>
        <v>105.24467662798715</v>
      </c>
      <c r="G243" s="7">
        <f t="shared" si="23"/>
        <v>104.1870793747236</v>
      </c>
      <c r="H243" s="7">
        <f t="shared" si="23"/>
        <v>83.434349577722628</v>
      </c>
      <c r="I243" s="7">
        <f t="shared" si="23"/>
        <v>92.065700181894968</v>
      </c>
      <c r="J243" s="7">
        <f t="shared" si="23"/>
        <v>102.76932733369914</v>
      </c>
      <c r="K243" s="7">
        <f t="shared" si="23"/>
        <v>113.37041027613549</v>
      </c>
      <c r="L243" s="7">
        <f t="shared" si="23"/>
        <v>102.34309390754306</v>
      </c>
    </row>
    <row r="244" spans="1:12" x14ac:dyDescent="0.3">
      <c r="B244">
        <v>95</v>
      </c>
      <c r="C244" s="7">
        <f t="shared" si="23"/>
        <v>101.76121306228731</v>
      </c>
      <c r="D244" s="7">
        <f t="shared" si="23"/>
        <v>103.0104611325656</v>
      </c>
      <c r="E244" s="7">
        <f t="shared" si="23"/>
        <v>103.9463167624325</v>
      </c>
      <c r="F244" s="7">
        <f t="shared" si="23"/>
        <v>104.31023004948979</v>
      </c>
      <c r="G244" s="7">
        <f t="shared" si="23"/>
        <v>103.27718869398052</v>
      </c>
      <c r="H244" s="7">
        <f t="shared" si="23"/>
        <v>82.292611119188791</v>
      </c>
      <c r="I244" s="7">
        <f t="shared" si="23"/>
        <v>90.983350228051037</v>
      </c>
      <c r="J244" s="7">
        <f t="shared" si="23"/>
        <v>101.76121306228731</v>
      </c>
      <c r="K244" s="7">
        <f t="shared" si="23"/>
        <v>112.43653169001115</v>
      </c>
      <c r="L244" s="7">
        <f t="shared" si="23"/>
        <v>101.33201020872816</v>
      </c>
    </row>
    <row r="245" spans="1:12" x14ac:dyDescent="0.3">
      <c r="B245">
        <v>96</v>
      </c>
      <c r="C245" s="7">
        <f t="shared" ref="C245:L249" si="24">$E$15*(C$37*LN((C$46-C143/$E$16)/($E$22*C$40)+1)-$E$23*(C143/$E$16))</f>
        <v>100.55487137165106</v>
      </c>
      <c r="D245" s="7">
        <f t="shared" si="24"/>
        <v>101.82867533956028</v>
      </c>
      <c r="E245" s="7">
        <f t="shared" si="24"/>
        <v>102.7890868670726</v>
      </c>
      <c r="F245" s="7">
        <f t="shared" si="24"/>
        <v>103.17755605181161</v>
      </c>
      <c r="G245" s="7">
        <f t="shared" si="24"/>
        <v>102.16907059412911</v>
      </c>
      <c r="H245" s="7">
        <f t="shared" si="24"/>
        <v>80.922726653690944</v>
      </c>
      <c r="I245" s="7">
        <f t="shared" si="24"/>
        <v>89.68615140588966</v>
      </c>
      <c r="J245" s="7">
        <f t="shared" si="24"/>
        <v>100.55487137165106</v>
      </c>
      <c r="K245" s="7">
        <f t="shared" si="24"/>
        <v>111.32104713518318</v>
      </c>
      <c r="L245" s="7">
        <f t="shared" si="24"/>
        <v>100.12203423267223</v>
      </c>
    </row>
    <row r="246" spans="1:12" x14ac:dyDescent="0.3">
      <c r="B246">
        <v>97</v>
      </c>
      <c r="C246" s="7">
        <f t="shared" si="24"/>
        <v>99.035137240603433</v>
      </c>
      <c r="D246" s="7">
        <f t="shared" si="24"/>
        <v>100.33349710615806</v>
      </c>
      <c r="E246" s="7">
        <f t="shared" si="24"/>
        <v>101.31846453133998</v>
      </c>
      <c r="F246" s="7">
        <f t="shared" si="24"/>
        <v>101.73148961380906</v>
      </c>
      <c r="G246" s="7">
        <f t="shared" si="24"/>
        <v>100.7475600540985</v>
      </c>
      <c r="H246" s="7">
        <f t="shared" si="24"/>
        <v>79.192149241467874</v>
      </c>
      <c r="I246" s="7">
        <f t="shared" si="24"/>
        <v>88.04928206133377</v>
      </c>
      <c r="J246" s="7">
        <f t="shared" si="24"/>
        <v>99.035137240603433</v>
      </c>
      <c r="K246" s="7">
        <f t="shared" si="24"/>
        <v>109.9184482247823</v>
      </c>
      <c r="L246" s="7">
        <f t="shared" si="24"/>
        <v>98.597614692819761</v>
      </c>
    </row>
    <row r="247" spans="1:12" x14ac:dyDescent="0.3">
      <c r="B247">
        <v>98</v>
      </c>
      <c r="C247" s="7">
        <f t="shared" si="24"/>
        <v>96.943460766746185</v>
      </c>
      <c r="D247" s="7">
        <f t="shared" si="24"/>
        <v>98.266376529982537</v>
      </c>
      <c r="E247" s="7">
        <f t="shared" si="24"/>
        <v>99.275899852894469</v>
      </c>
      <c r="F247" s="7">
        <f t="shared" si="24"/>
        <v>99.713480833214589</v>
      </c>
      <c r="G247" s="7">
        <f t="shared" si="24"/>
        <v>98.75410717183874</v>
      </c>
      <c r="H247" s="7">
        <f t="shared" si="24"/>
        <v>76.80330592187444</v>
      </c>
      <c r="I247" s="7">
        <f t="shared" si="24"/>
        <v>85.792512780801516</v>
      </c>
      <c r="J247" s="7">
        <f t="shared" si="24"/>
        <v>96.943460766746185</v>
      </c>
      <c r="K247" s="7">
        <f t="shared" si="24"/>
        <v>107.99186457187713</v>
      </c>
      <c r="L247" s="7">
        <f t="shared" si="24"/>
        <v>96.499334506166548</v>
      </c>
    </row>
    <row r="248" spans="1:12" x14ac:dyDescent="0.3">
      <c r="B248">
        <v>99</v>
      </c>
      <c r="C248" s="7">
        <f t="shared" si="24"/>
        <v>93.454829650322324</v>
      </c>
      <c r="D248" s="7">
        <f t="shared" si="24"/>
        <v>94.80230131138552</v>
      </c>
      <c r="E248" s="7">
        <f t="shared" si="24"/>
        <v>95.836380532269317</v>
      </c>
      <c r="F248" s="7">
        <f t="shared" si="24"/>
        <v>96.298517410924191</v>
      </c>
      <c r="G248" s="7">
        <f t="shared" si="24"/>
        <v>95.363699649334151</v>
      </c>
      <c r="H248" s="7">
        <f t="shared" si="24"/>
        <v>72.806665027281127</v>
      </c>
      <c r="I248" s="7">
        <f t="shared" si="24"/>
        <v>82.021653666041018</v>
      </c>
      <c r="J248" s="7">
        <f t="shared" si="24"/>
        <v>93.454829650322324</v>
      </c>
      <c r="K248" s="7">
        <f t="shared" si="24"/>
        <v>104.78546149662107</v>
      </c>
      <c r="L248" s="7">
        <f t="shared" si="24"/>
        <v>92.999414268222367</v>
      </c>
    </row>
    <row r="249" spans="1:12" x14ac:dyDescent="0.3">
      <c r="B249">
        <v>100</v>
      </c>
      <c r="C249" s="7">
        <f t="shared" si="24"/>
        <v>-12.277948804572688</v>
      </c>
      <c r="D249" s="7">
        <f t="shared" si="24"/>
        <v>-9.8223590436581496</v>
      </c>
      <c r="E249" s="7">
        <f t="shared" si="24"/>
        <v>-7.3669250318204496</v>
      </c>
      <c r="F249" s="7">
        <f t="shared" si="24"/>
        <v>-4.9111795218290748</v>
      </c>
      <c r="G249" s="7">
        <f t="shared" si="24"/>
        <v>-2.4555897609145374</v>
      </c>
      <c r="H249" s="7">
        <f t="shared" si="24"/>
        <v>-12.277948804572688</v>
      </c>
      <c r="I249" s="7">
        <f t="shared" si="24"/>
        <v>-12.277948804572688</v>
      </c>
      <c r="J249" s="7">
        <f t="shared" si="24"/>
        <v>-12.277948804572688</v>
      </c>
      <c r="K249" s="7">
        <f t="shared" si="24"/>
        <v>-12.277948804572688</v>
      </c>
      <c r="L249" s="7">
        <f t="shared" si="24"/>
        <v>-12.277948804572688</v>
      </c>
    </row>
    <row r="251" spans="1:12" x14ac:dyDescent="0.3">
      <c r="A251" t="s">
        <v>60</v>
      </c>
      <c r="B251">
        <f>B47</f>
        <v>0</v>
      </c>
      <c r="C251" s="7">
        <f>C47*C149</f>
        <v>0</v>
      </c>
      <c r="D251" s="7">
        <f t="shared" ref="D251:L266" si="25">D47*D149</f>
        <v>0</v>
      </c>
      <c r="E251" s="7">
        <f t="shared" si="25"/>
        <v>0</v>
      </c>
      <c r="F251" s="7">
        <f t="shared" si="25"/>
        <v>0</v>
      </c>
      <c r="G251" s="7">
        <f t="shared" si="25"/>
        <v>0</v>
      </c>
      <c r="H251" s="7">
        <f t="shared" si="25"/>
        <v>0</v>
      </c>
      <c r="I251" s="7">
        <f t="shared" si="25"/>
        <v>0</v>
      </c>
      <c r="J251" s="7">
        <f t="shared" si="25"/>
        <v>0</v>
      </c>
      <c r="K251" s="7">
        <f t="shared" si="25"/>
        <v>0</v>
      </c>
      <c r="L251" s="7">
        <f t="shared" si="25"/>
        <v>0</v>
      </c>
    </row>
    <row r="252" spans="1:12" x14ac:dyDescent="0.3">
      <c r="B252">
        <f t="shared" ref="B252:B315" si="26">B48</f>
        <v>1</v>
      </c>
      <c r="C252" s="7">
        <f t="shared" ref="C252:L267" si="27">C48*C150</f>
        <v>17.270749834647802</v>
      </c>
      <c r="D252" s="7">
        <f t="shared" si="27"/>
        <v>13.702110103034238</v>
      </c>
      <c r="E252" s="7">
        <f t="shared" si="27"/>
        <v>10.165304479583725</v>
      </c>
      <c r="F252" s="7">
        <f t="shared" si="27"/>
        <v>6.6717677511026352</v>
      </c>
      <c r="G252" s="7">
        <f t="shared" si="27"/>
        <v>3.2455765373842151</v>
      </c>
      <c r="H252" s="7">
        <f t="shared" si="27"/>
        <v>14.935509927462771</v>
      </c>
      <c r="I252" s="7">
        <f t="shared" si="27"/>
        <v>15.978533266762062</v>
      </c>
      <c r="J252" s="7">
        <f t="shared" si="27"/>
        <v>17.270749834647802</v>
      </c>
      <c r="K252" s="7">
        <f t="shared" si="27"/>
        <v>18.549108760846703</v>
      </c>
      <c r="L252" s="7">
        <f t="shared" si="25"/>
        <v>17.219319510279593</v>
      </c>
    </row>
    <row r="253" spans="1:12" x14ac:dyDescent="0.3">
      <c r="B253">
        <f t="shared" si="26"/>
        <v>2</v>
      </c>
      <c r="C253" s="7">
        <f t="shared" si="27"/>
        <v>34.494990948883213</v>
      </c>
      <c r="D253" s="7">
        <f t="shared" si="27"/>
        <v>27.372322733422227</v>
      </c>
      <c r="E253" s="7">
        <f t="shared" si="27"/>
        <v>20.310667982445519</v>
      </c>
      <c r="F253" s="7">
        <f t="shared" si="27"/>
        <v>13.332896269565829</v>
      </c>
      <c r="G253" s="7">
        <f t="shared" si="27"/>
        <v>6.4871608343696439</v>
      </c>
      <c r="H253" s="7">
        <f t="shared" si="27"/>
        <v>29.822500084719607</v>
      </c>
      <c r="I253" s="7">
        <f t="shared" si="27"/>
        <v>31.909440563207276</v>
      </c>
      <c r="J253" s="7">
        <f t="shared" si="27"/>
        <v>34.494990948883213</v>
      </c>
      <c r="K253" s="7">
        <f t="shared" si="27"/>
        <v>37.052826051187864</v>
      </c>
      <c r="L253" s="7">
        <f t="shared" si="25"/>
        <v>34.392085610150531</v>
      </c>
    </row>
    <row r="254" spans="1:12" x14ac:dyDescent="0.3">
      <c r="B254">
        <f t="shared" si="26"/>
        <v>3</v>
      </c>
      <c r="C254" s="7">
        <f t="shared" si="27"/>
        <v>51.672518349555233</v>
      </c>
      <c r="D254" s="7">
        <f t="shared" si="27"/>
        <v>41.01047389664317</v>
      </c>
      <c r="E254" s="7">
        <f t="shared" si="27"/>
        <v>30.435967512694774</v>
      </c>
      <c r="F254" s="7">
        <f t="shared" si="27"/>
        <v>19.983303558129172</v>
      </c>
      <c r="G254" s="7">
        <f t="shared" si="27"/>
        <v>9.7247118923260913</v>
      </c>
      <c r="H254" s="7">
        <f t="shared" si="27"/>
        <v>44.660734538852822</v>
      </c>
      <c r="I254" s="7">
        <f t="shared" si="27"/>
        <v>47.792499707424781</v>
      </c>
      <c r="J254" s="7">
        <f t="shared" si="27"/>
        <v>51.672518349555233</v>
      </c>
      <c r="K254" s="7">
        <f t="shared" si="27"/>
        <v>55.510964066632411</v>
      </c>
      <c r="L254" s="7">
        <f t="shared" si="25"/>
        <v>51.518092618911417</v>
      </c>
    </row>
    <row r="255" spans="1:12" x14ac:dyDescent="0.3">
      <c r="B255">
        <f t="shared" si="26"/>
        <v>4</v>
      </c>
      <c r="C255" s="7">
        <f t="shared" si="27"/>
        <v>68.803121378612047</v>
      </c>
      <c r="D255" s="7">
        <f t="shared" si="27"/>
        <v>54.616395066255592</v>
      </c>
      <c r="E255" s="7">
        <f t="shared" si="27"/>
        <v>40.541076675500399</v>
      </c>
      <c r="F255" s="7">
        <f t="shared" si="27"/>
        <v>26.622905353571948</v>
      </c>
      <c r="G255" s="7">
        <f t="shared" si="27"/>
        <v>12.958187579643189</v>
      </c>
      <c r="H255" s="7">
        <f t="shared" si="27"/>
        <v>59.449970837036297</v>
      </c>
      <c r="I255" s="7">
        <f t="shared" si="27"/>
        <v>63.627482377598632</v>
      </c>
      <c r="J255" s="7">
        <f t="shared" si="27"/>
        <v>68.803121378612047</v>
      </c>
      <c r="K255" s="7">
        <f t="shared" si="27"/>
        <v>73.923329812892717</v>
      </c>
      <c r="L255" s="7">
        <f t="shared" si="25"/>
        <v>68.59712917195985</v>
      </c>
    </row>
    <row r="256" spans="1:12" x14ac:dyDescent="0.3">
      <c r="B256">
        <f t="shared" si="26"/>
        <v>5</v>
      </c>
      <c r="C256" s="7">
        <f t="shared" si="27"/>
        <v>85.886583490649215</v>
      </c>
      <c r="D256" s="7">
        <f t="shared" si="27"/>
        <v>68.18991300593602</v>
      </c>
      <c r="E256" s="7">
        <f t="shared" si="27"/>
        <v>50.62586554361976</v>
      </c>
      <c r="F256" s="7">
        <f t="shared" si="27"/>
        <v>33.251615037732392</v>
      </c>
      <c r="G256" s="7">
        <f t="shared" si="27"/>
        <v>16.187544587240065</v>
      </c>
      <c r="H256" s="7">
        <f t="shared" si="27"/>
        <v>74.189959750508862</v>
      </c>
      <c r="I256" s="7">
        <f t="shared" si="27"/>
        <v>79.414153870903363</v>
      </c>
      <c r="J256" s="7">
        <f t="shared" si="27"/>
        <v>85.886583490649215</v>
      </c>
      <c r="K256" s="7">
        <f t="shared" si="27"/>
        <v>92.289724901985494</v>
      </c>
      <c r="L256" s="7">
        <f t="shared" si="25"/>
        <v>85.628977997594589</v>
      </c>
    </row>
    <row r="257" spans="2:12" x14ac:dyDescent="0.3">
      <c r="B257">
        <f t="shared" si="26"/>
        <v>6</v>
      </c>
      <c r="C257" s="7">
        <f t="shared" si="27"/>
        <v>102.92268201915839</v>
      </c>
      <c r="D257" s="7">
        <f t="shared" si="27"/>
        <v>81.730849582477674</v>
      </c>
      <c r="E257" s="7">
        <f t="shared" si="27"/>
        <v>60.690200517147851</v>
      </c>
      <c r="F257" s="7">
        <f t="shared" si="27"/>
        <v>39.869343544007151</v>
      </c>
      <c r="G257" s="7">
        <f t="shared" si="27"/>
        <v>19.412738381815036</v>
      </c>
      <c r="H257" s="7">
        <f t="shared" si="27"/>
        <v>88.880445005542754</v>
      </c>
      <c r="I257" s="7">
        <f t="shared" si="27"/>
        <v>95.152272850152499</v>
      </c>
      <c r="J257" s="7">
        <f t="shared" si="27"/>
        <v>102.92268201915839</v>
      </c>
      <c r="K257" s="7">
        <f t="shared" si="27"/>
        <v>110.60994533808062</v>
      </c>
      <c r="L257" s="7">
        <f t="shared" si="25"/>
        <v>102.61341568248011</v>
      </c>
    </row>
    <row r="258" spans="2:12" x14ac:dyDescent="0.3">
      <c r="B258">
        <f t="shared" si="26"/>
        <v>7</v>
      </c>
      <c r="C258" s="7">
        <f t="shared" si="27"/>
        <v>119.91118793077118</v>
      </c>
      <c r="D258" s="7">
        <f t="shared" si="27"/>
        <v>95.239021569185894</v>
      </c>
      <c r="E258" s="7">
        <f t="shared" si="27"/>
        <v>70.733944176063559</v>
      </c>
      <c r="F258" s="7">
        <f t="shared" si="27"/>
        <v>46.475999259048855</v>
      </c>
      <c r="G258" s="7">
        <f t="shared" si="27"/>
        <v>22.63372315669443</v>
      </c>
      <c r="H258" s="7">
        <f t="shared" si="27"/>
        <v>103.52116300059531</v>
      </c>
      <c r="I258" s="7">
        <f t="shared" si="27"/>
        <v>110.84159107743564</v>
      </c>
      <c r="J258" s="7">
        <f t="shared" si="27"/>
        <v>119.91118793077118</v>
      </c>
      <c r="K258" s="7">
        <f t="shared" si="27"/>
        <v>128.88378129235167</v>
      </c>
      <c r="L258" s="7">
        <f t="shared" si="25"/>
        <v>119.55021242506635</v>
      </c>
    </row>
    <row r="259" spans="2:12" x14ac:dyDescent="0.3">
      <c r="B259">
        <f t="shared" si="26"/>
        <v>8</v>
      </c>
      <c r="C259" s="7">
        <f t="shared" si="27"/>
        <v>136.851865566741</v>
      </c>
      <c r="D259" s="7">
        <f t="shared" si="27"/>
        <v>108.71424043906339</v>
      </c>
      <c r="E259" s="7">
        <f t="shared" si="27"/>
        <v>80.756955125119021</v>
      </c>
      <c r="F259" s="7">
        <f t="shared" si="27"/>
        <v>53.071487919358894</v>
      </c>
      <c r="G259" s="7">
        <f t="shared" si="27"/>
        <v>25.850451780128925</v>
      </c>
      <c r="H259" s="7">
        <f t="shared" si="27"/>
        <v>118.11184250877251</v>
      </c>
      <c r="I259" s="7">
        <f t="shared" si="27"/>
        <v>126.48185313392365</v>
      </c>
      <c r="J259" s="7">
        <f t="shared" si="27"/>
        <v>136.851865566741</v>
      </c>
      <c r="K259" s="7">
        <f t="shared" si="27"/>
        <v>147.11101686613486</v>
      </c>
      <c r="L259" s="7">
        <f t="shared" si="25"/>
        <v>136.43913177620345</v>
      </c>
    </row>
    <row r="260" spans="2:12" x14ac:dyDescent="0.3">
      <c r="B260">
        <f t="shared" si="26"/>
        <v>9</v>
      </c>
      <c r="C260" s="7">
        <f t="shared" si="27"/>
        <v>153.74447237084934</v>
      </c>
      <c r="D260" s="7">
        <f t="shared" si="27"/>
        <v>122.1563121471354</v>
      </c>
      <c r="E260" s="7">
        <f t="shared" si="27"/>
        <v>90.759087830583127</v>
      </c>
      <c r="F260" s="7">
        <f t="shared" si="27"/>
        <v>59.65571250244988</v>
      </c>
      <c r="G260" s="7">
        <f t="shared" si="27"/>
        <v>29.062875740874837</v>
      </c>
      <c r="H260" s="7">
        <f t="shared" si="27"/>
        <v>132.65220436466797</v>
      </c>
      <c r="I260" s="7">
        <f t="shared" si="27"/>
        <v>142.07279612495947</v>
      </c>
      <c r="J260" s="7">
        <f t="shared" si="27"/>
        <v>153.74447237084934</v>
      </c>
      <c r="K260" s="7">
        <f t="shared" si="27"/>
        <v>165.29142984165023</v>
      </c>
      <c r="L260" s="7">
        <f t="shared" si="25"/>
        <v>153.27993036613535</v>
      </c>
    </row>
    <row r="261" spans="2:12" x14ac:dyDescent="0.3">
      <c r="B261">
        <f t="shared" si="26"/>
        <v>10</v>
      </c>
      <c r="C261" s="7">
        <f t="shared" si="27"/>
        <v>170.58875860285997</v>
      </c>
      <c r="D261" s="7">
        <f t="shared" si="27"/>
        <v>135.56503690121292</v>
      </c>
      <c r="E261" s="7">
        <f t="shared" si="27"/>
        <v>100.74019244831406</v>
      </c>
      <c r="F261" s="7">
        <f t="shared" si="27"/>
        <v>66.228573112227295</v>
      </c>
      <c r="G261" s="7">
        <f t="shared" si="27"/>
        <v>32.270945090884908</v>
      </c>
      <c r="H261" s="7">
        <f t="shared" si="27"/>
        <v>147.1419611345685</v>
      </c>
      <c r="I261" s="7">
        <f t="shared" si="27"/>
        <v>157.61414936948557</v>
      </c>
      <c r="J261" s="7">
        <f t="shared" si="27"/>
        <v>170.58875860285997</v>
      </c>
      <c r="K261" s="7">
        <f t="shared" si="27"/>
        <v>183.42479141948294</v>
      </c>
      <c r="L261" s="7">
        <f t="shared" si="25"/>
        <v>170.07235761699289</v>
      </c>
    </row>
    <row r="262" spans="2:12" x14ac:dyDescent="0.3">
      <c r="B262">
        <f t="shared" si="26"/>
        <v>11</v>
      </c>
      <c r="C262" s="7">
        <f t="shared" si="27"/>
        <v>187.38446703657849</v>
      </c>
      <c r="D262" s="7">
        <f t="shared" si="27"/>
        <v>148.94020892034032</v>
      </c>
      <c r="E262" s="7">
        <f t="shared" si="27"/>
        <v>110.70011464259521</v>
      </c>
      <c r="F262" s="7">
        <f t="shared" si="27"/>
        <v>72.789966858213333</v>
      </c>
      <c r="G262" s="7">
        <f t="shared" si="27"/>
        <v>35.474608384920245</v>
      </c>
      <c r="H262" s="7">
        <f t="shared" si="27"/>
        <v>161.58081676894159</v>
      </c>
      <c r="I262" s="7">
        <f t="shared" si="27"/>
        <v>173.10563407278556</v>
      </c>
      <c r="J262" s="7">
        <f t="shared" si="27"/>
        <v>187.38446703657849</v>
      </c>
      <c r="K262" s="7">
        <f t="shared" si="27"/>
        <v>201.51086594196073</v>
      </c>
      <c r="L262" s="7">
        <f t="shared" si="25"/>
        <v>186.81615543984083</v>
      </c>
    </row>
    <row r="263" spans="2:12" x14ac:dyDescent="0.3">
      <c r="B263">
        <f t="shared" si="26"/>
        <v>12</v>
      </c>
      <c r="C263" s="7">
        <f t="shared" si="27"/>
        <v>204.13133264150139</v>
      </c>
      <c r="D263" s="7">
        <f t="shared" si="27"/>
        <v>162.28161618011501</v>
      </c>
      <c r="E263" s="7">
        <f t="shared" si="27"/>
        <v>120.63869539512459</v>
      </c>
      <c r="F263" s="7">
        <f t="shared" si="27"/>
        <v>79.33978772820673</v>
      </c>
      <c r="G263" s="7">
        <f t="shared" si="27"/>
        <v>38.673812616880205</v>
      </c>
      <c r="H263" s="7">
        <f t="shared" si="27"/>
        <v>175.96846623603577</v>
      </c>
      <c r="I263" s="7">
        <f t="shared" si="27"/>
        <v>188.54696298143952</v>
      </c>
      <c r="J263" s="7">
        <f t="shared" si="27"/>
        <v>204.13133264150139</v>
      </c>
      <c r="K263" s="7">
        <f t="shared" si="27"/>
        <v>219.5494106014967</v>
      </c>
      <c r="L263" s="7">
        <f t="shared" si="25"/>
        <v>203.51105791525913</v>
      </c>
    </row>
    <row r="264" spans="2:12" x14ac:dyDescent="0.3">
      <c r="B264">
        <f t="shared" si="26"/>
        <v>13</v>
      </c>
      <c r="C264" s="7">
        <f t="shared" si="27"/>
        <v>220.82908224695927</v>
      </c>
      <c r="D264" s="7">
        <f t="shared" si="27"/>
        <v>175.58904014400133</v>
      </c>
      <c r="E264" s="7">
        <f t="shared" si="27"/>
        <v>130.55577080350045</v>
      </c>
      <c r="F264" s="7">
        <f t="shared" si="27"/>
        <v>85.877926453939594</v>
      </c>
      <c r="G264" s="7">
        <f t="shared" si="27"/>
        <v>41.868503152630836</v>
      </c>
      <c r="H264" s="7">
        <f t="shared" si="27"/>
        <v>190.30459513533214</v>
      </c>
      <c r="I264" s="7">
        <f t="shared" si="27"/>
        <v>203.93784001930518</v>
      </c>
      <c r="J264" s="7">
        <f t="shared" si="27"/>
        <v>220.82908224695927</v>
      </c>
      <c r="K264" s="7">
        <f t="shared" si="27"/>
        <v>237.54017513289423</v>
      </c>
      <c r="L264" s="7">
        <f t="shared" si="25"/>
        <v>220.15679095635923</v>
      </c>
    </row>
    <row r="265" spans="2:12" x14ac:dyDescent="0.3">
      <c r="B265">
        <f t="shared" si="26"/>
        <v>14</v>
      </c>
      <c r="C265" s="7">
        <f t="shared" si="27"/>
        <v>237.47743418757003</v>
      </c>
      <c r="D265" s="7">
        <f t="shared" si="27"/>
        <v>188.8622554796936</v>
      </c>
      <c r="E265" s="7">
        <f t="shared" si="27"/>
        <v>140.45117186849347</v>
      </c>
      <c r="F265" s="7">
        <f t="shared" si="27"/>
        <v>92.404270369259123</v>
      </c>
      <c r="G265" s="7">
        <f t="shared" si="27"/>
        <v>45.05862365909578</v>
      </c>
      <c r="H265" s="7">
        <f t="shared" si="27"/>
        <v>204.58887928948616</v>
      </c>
      <c r="I265" s="7">
        <f t="shared" si="27"/>
        <v>219.27795990324259</v>
      </c>
      <c r="J265" s="7">
        <f t="shared" si="27"/>
        <v>237.47743418757003</v>
      </c>
      <c r="K265" s="7">
        <f t="shared" si="27"/>
        <v>255.48290148852922</v>
      </c>
      <c r="L265" s="7">
        <f t="shared" si="25"/>
        <v>236.75307195304887</v>
      </c>
    </row>
    <row r="266" spans="2:12" x14ac:dyDescent="0.3">
      <c r="B266">
        <f t="shared" si="26"/>
        <v>15</v>
      </c>
      <c r="C266" s="7">
        <f t="shared" si="27"/>
        <v>254.07609792872643</v>
      </c>
      <c r="D266" s="7">
        <f t="shared" si="27"/>
        <v>202.10102975950602</v>
      </c>
      <c r="E266" s="7">
        <f t="shared" si="27"/>
        <v>150.32472426933944</v>
      </c>
      <c r="F266" s="7">
        <f t="shared" si="27"/>
        <v>98.918703260322445</v>
      </c>
      <c r="G266" s="7">
        <f t="shared" si="27"/>
        <v>48.244116029353542</v>
      </c>
      <c r="H266" s="7">
        <f t="shared" si="27"/>
        <v>218.82098431328944</v>
      </c>
      <c r="I266" s="7">
        <f t="shared" si="27"/>
        <v>234.5670077371984</v>
      </c>
      <c r="J266" s="7">
        <f t="shared" si="27"/>
        <v>254.07609792872643</v>
      </c>
      <c r="K266" s="7">
        <f t="shared" si="27"/>
        <v>273.37732349524077</v>
      </c>
      <c r="L266" s="7">
        <f t="shared" si="25"/>
        <v>253.29960939626295</v>
      </c>
    </row>
    <row r="267" spans="2:12" x14ac:dyDescent="0.3">
      <c r="B267">
        <f t="shared" si="26"/>
        <v>16</v>
      </c>
      <c r="C267" s="7">
        <f t="shared" si="27"/>
        <v>270.62477367073507</v>
      </c>
      <c r="D267" s="7">
        <f t="shared" si="27"/>
        <v>215.30512314368397</v>
      </c>
      <c r="E267" s="7">
        <f t="shared" si="27"/>
        <v>160.1762481262223</v>
      </c>
      <c r="F267" s="7">
        <f t="shared" si="27"/>
        <v>105.42110520725224</v>
      </c>
      <c r="G267" s="7">
        <f t="shared" si="27"/>
        <v>51.424920303465484</v>
      </c>
      <c r="H267" s="7">
        <f t="shared" si="27"/>
        <v>233.00056515806136</v>
      </c>
      <c r="I267" s="7">
        <f t="shared" si="27"/>
        <v>249.80465858315199</v>
      </c>
      <c r="J267" s="7">
        <f t="shared" si="27"/>
        <v>270.62477367073507</v>
      </c>
      <c r="K267" s="7">
        <f t="shared" si="27"/>
        <v>291.22316649166294</v>
      </c>
      <c r="L267" s="7">
        <f t="shared" si="27"/>
        <v>269.79610248077495</v>
      </c>
    </row>
    <row r="268" spans="2:12" x14ac:dyDescent="0.3">
      <c r="B268">
        <f t="shared" si="26"/>
        <v>17</v>
      </c>
      <c r="C268" s="7">
        <f t="shared" ref="C268:L283" si="28">C64*C166</f>
        <v>287.12315193011267</v>
      </c>
      <c r="D268" s="7">
        <f t="shared" si="28"/>
        <v>228.47428804544066</v>
      </c>
      <c r="E268" s="7">
        <f t="shared" si="28"/>
        <v>170.00555774905197</v>
      </c>
      <c r="F268" s="7">
        <f t="shared" si="28"/>
        <v>111.91135241665506</v>
      </c>
      <c r="G268" s="7">
        <f t="shared" si="28"/>
        <v>54.600974584734935</v>
      </c>
      <c r="H268" s="7">
        <f t="shared" si="28"/>
        <v>247.12726562974964</v>
      </c>
      <c r="I268" s="7">
        <f t="shared" si="28"/>
        <v>264.99057700730282</v>
      </c>
      <c r="J268" s="7">
        <f t="shared" si="28"/>
        <v>287.12315193011267</v>
      </c>
      <c r="K268" s="7">
        <f t="shared" si="28"/>
        <v>309.02014694462946</v>
      </c>
      <c r="L268" s="7">
        <f t="shared" si="28"/>
        <v>286.24224068508886</v>
      </c>
    </row>
    <row r="269" spans="2:12" x14ac:dyDescent="0.3">
      <c r="B269">
        <f t="shared" si="26"/>
        <v>18</v>
      </c>
      <c r="C269" s="7">
        <f t="shared" si="28"/>
        <v>303.57091309641856</v>
      </c>
      <c r="D269" s="7">
        <f t="shared" si="28"/>
        <v>241.60826877642378</v>
      </c>
      <c r="E269" s="7">
        <f t="shared" si="28"/>
        <v>179.81246137156424</v>
      </c>
      <c r="F269" s="7">
        <f t="shared" si="28"/>
        <v>118.38931704435478</v>
      </c>
      <c r="G269" s="7">
        <f t="shared" si="28"/>
        <v>57.772214951073764</v>
      </c>
      <c r="H269" s="7">
        <f t="shared" si="28"/>
        <v>261.20071787887599</v>
      </c>
      <c r="I269" s="7">
        <f t="shared" si="28"/>
        <v>280.12441659974382</v>
      </c>
      <c r="J269" s="7">
        <f t="shared" si="28"/>
        <v>303.57091309641856</v>
      </c>
      <c r="K269" s="7">
        <f t="shared" si="28"/>
        <v>326.76797204316659</v>
      </c>
      <c r="L269" s="7">
        <f t="shared" si="28"/>
        <v>302.63770332678541</v>
      </c>
    </row>
    <row r="270" spans="2:12" x14ac:dyDescent="0.3">
      <c r="B270">
        <f t="shared" si="26"/>
        <v>19</v>
      </c>
      <c r="C270" s="7">
        <f t="shared" si="28"/>
        <v>319.96772696286962</v>
      </c>
      <c r="D270" s="7">
        <f t="shared" si="28"/>
        <v>254.70680117120662</v>
      </c>
      <c r="E270" s="7">
        <f t="shared" si="28"/>
        <v>189.59676086968904</v>
      </c>
      <c r="F270" s="7">
        <f t="shared" si="28"/>
        <v>124.85486700763815</v>
      </c>
      <c r="G270" s="7">
        <f t="shared" si="28"/>
        <v>60.938575361125352</v>
      </c>
      <c r="H270" s="7">
        <f t="shared" si="28"/>
        <v>275.22054186030567</v>
      </c>
      <c r="I270" s="7">
        <f t="shared" si="28"/>
        <v>295.20581946571741</v>
      </c>
      <c r="J270" s="7">
        <f t="shared" si="28"/>
        <v>319.96772696286962</v>
      </c>
      <c r="K270" s="7">
        <f t="shared" si="28"/>
        <v>344.46633926846573</v>
      </c>
      <c r="L270" s="7">
        <f t="shared" si="28"/>
        <v>318.98215909156255</v>
      </c>
    </row>
    <row r="271" spans="2:12" x14ac:dyDescent="0.3">
      <c r="B271">
        <f t="shared" si="26"/>
        <v>20</v>
      </c>
      <c r="C271" s="7">
        <f t="shared" si="28"/>
        <v>336.31325222882867</v>
      </c>
      <c r="D271" s="7">
        <f t="shared" si="28"/>
        <v>267.76961218927954</v>
      </c>
      <c r="E271" s="7">
        <f t="shared" si="28"/>
        <v>199.35825146304416</v>
      </c>
      <c r="F271" s="7">
        <f t="shared" si="28"/>
        <v>131.30786578625018</v>
      </c>
      <c r="G271" s="7">
        <f t="shared" si="28"/>
        <v>64.099987554762265</v>
      </c>
      <c r="H271" s="7">
        <f t="shared" si="28"/>
        <v>289.18634476064631</v>
      </c>
      <c r="I271" s="7">
        <f t="shared" si="28"/>
        <v>310.23441568638793</v>
      </c>
      <c r="J271" s="7">
        <f t="shared" si="28"/>
        <v>336.31325222882867</v>
      </c>
      <c r="K271" s="7">
        <f t="shared" si="28"/>
        <v>362.11493593808808</v>
      </c>
      <c r="L271" s="7">
        <f t="shared" si="28"/>
        <v>335.27526553405488</v>
      </c>
    </row>
    <row r="272" spans="2:12" x14ac:dyDescent="0.3">
      <c r="B272">
        <f t="shared" si="26"/>
        <v>21</v>
      </c>
      <c r="C272" s="7">
        <f t="shared" si="28"/>
        <v>352.60713597209764</v>
      </c>
      <c r="D272" s="7">
        <f t="shared" si="28"/>
        <v>280.79641949288407</v>
      </c>
      <c r="E272" s="7">
        <f t="shared" si="28"/>
        <v>209.09672139831082</v>
      </c>
      <c r="F272" s="7">
        <f t="shared" si="28"/>
        <v>137.7481722113117</v>
      </c>
      <c r="G272" s="7">
        <f t="shared" si="28"/>
        <v>67.256380947544883</v>
      </c>
      <c r="H272" s="7">
        <f t="shared" si="28"/>
        <v>303.09772039089444</v>
      </c>
      <c r="I272" s="7">
        <f t="shared" si="28"/>
        <v>325.20982274688623</v>
      </c>
      <c r="J272" s="7">
        <f t="shared" si="28"/>
        <v>352.60713597209764</v>
      </c>
      <c r="K272" s="7">
        <f t="shared" si="28"/>
        <v>379.71343872250714</v>
      </c>
      <c r="L272" s="7">
        <f t="shared" si="28"/>
        <v>351.51666854835781</v>
      </c>
    </row>
    <row r="273" spans="2:12" x14ac:dyDescent="0.3">
      <c r="B273">
        <f t="shared" si="26"/>
        <v>22</v>
      </c>
      <c r="C273" s="7">
        <f t="shared" si="28"/>
        <v>368.84901308876249</v>
      </c>
      <c r="D273" s="7">
        <f t="shared" si="28"/>
        <v>293.78693099888898</v>
      </c>
      <c r="E273" s="7">
        <f t="shared" si="28"/>
        <v>218.81195161314042</v>
      </c>
      <c r="F273" s="7">
        <f t="shared" si="28"/>
        <v>144.17564024125718</v>
      </c>
      <c r="G273" s="7">
        <f t="shared" si="28"/>
        <v>70.407682518690407</v>
      </c>
      <c r="H273" s="7">
        <f t="shared" si="28"/>
        <v>316.9542485417349</v>
      </c>
      <c r="I273" s="7">
        <f t="shared" si="28"/>
        <v>340.13164492918526</v>
      </c>
      <c r="J273" s="7">
        <f t="shared" si="28"/>
        <v>368.84901308876249</v>
      </c>
      <c r="K273" s="7">
        <f t="shared" si="28"/>
        <v>397.2615131319219</v>
      </c>
      <c r="L273" s="7">
        <f t="shared" si="28"/>
        <v>367.70600180599263</v>
      </c>
    </row>
    <row r="274" spans="2:12" x14ac:dyDescent="0.3">
      <c r="B274">
        <f t="shared" si="26"/>
        <v>23</v>
      </c>
      <c r="C274" s="7">
        <f t="shared" si="28"/>
        <v>385.03850569813699</v>
      </c>
      <c r="D274" s="7">
        <f t="shared" si="28"/>
        <v>306.74084440274532</v>
      </c>
      <c r="E274" s="7">
        <f t="shared" si="28"/>
        <v>228.50371537912139</v>
      </c>
      <c r="F274" s="7">
        <f t="shared" si="28"/>
        <v>150.59011872381203</v>
      </c>
      <c r="G274" s="7">
        <f t="shared" si="28"/>
        <v>73.553816692061588</v>
      </c>
      <c r="H274" s="7">
        <f t="shared" si="28"/>
        <v>330.75549429867317</v>
      </c>
      <c r="I274" s="7">
        <f t="shared" si="28"/>
        <v>354.99947266714821</v>
      </c>
      <c r="J274" s="7">
        <f t="shared" si="28"/>
        <v>385.03850569813699</v>
      </c>
      <c r="K274" s="7">
        <f t="shared" si="28"/>
        <v>414.75881297109703</v>
      </c>
      <c r="L274" s="7">
        <f t="shared" si="28"/>
        <v>383.84288615885509</v>
      </c>
    </row>
    <row r="275" spans="2:12" x14ac:dyDescent="0.3">
      <c r="B275">
        <f t="shared" si="26"/>
        <v>24</v>
      </c>
      <c r="C275" s="7">
        <f t="shared" si="28"/>
        <v>401.17522251013389</v>
      </c>
      <c r="D275" s="7">
        <f t="shared" si="28"/>
        <v>319.65784667238324</v>
      </c>
      <c r="E275" s="7">
        <f t="shared" si="28"/>
        <v>238.17177792220136</v>
      </c>
      <c r="F275" s="7">
        <f t="shared" si="28"/>
        <v>156.99145114294137</v>
      </c>
      <c r="G275" s="7">
        <f t="shared" si="28"/>
        <v>76.694705209641015</v>
      </c>
      <c r="H275" s="7">
        <f t="shared" si="28"/>
        <v>344.50100731392268</v>
      </c>
      <c r="I275" s="7">
        <f t="shared" si="28"/>
        <v>369.81288186085322</v>
      </c>
      <c r="J275" s="7">
        <f t="shared" si="28"/>
        <v>401.17522251013389</v>
      </c>
      <c r="K275" s="7">
        <f t="shared" si="28"/>
        <v>432.2049797597798</v>
      </c>
      <c r="L275" s="7">
        <f t="shared" si="28"/>
        <v>399.92692900446457</v>
      </c>
    </row>
    <row r="276" spans="2:12" x14ac:dyDescent="0.3">
      <c r="B276">
        <f t="shared" si="26"/>
        <v>25</v>
      </c>
      <c r="C276" s="7">
        <f t="shared" si="28"/>
        <v>417.25875815214681</v>
      </c>
      <c r="D276" s="7">
        <f t="shared" si="28"/>
        <v>332.53761350971757</v>
      </c>
      <c r="E276" s="7">
        <f t="shared" si="28"/>
        <v>247.81589601881646</v>
      </c>
      <c r="F276" s="7">
        <f t="shared" si="28"/>
        <v>163.37947534960264</v>
      </c>
      <c r="G276" s="7">
        <f t="shared" si="28"/>
        <v>79.830266996907355</v>
      </c>
      <c r="H276" s="7">
        <f t="shared" si="28"/>
        <v>358.19032103169326</v>
      </c>
      <c r="I276" s="7">
        <f t="shared" si="28"/>
        <v>384.57143314703478</v>
      </c>
      <c r="J276" s="7">
        <f t="shared" si="28"/>
        <v>417.25875815214681</v>
      </c>
      <c r="K276" s="7">
        <f t="shared" si="28"/>
        <v>449.59964211602346</v>
      </c>
      <c r="L276" s="7">
        <f t="shared" si="28"/>
        <v>415.95772361058829</v>
      </c>
    </row>
    <row r="277" spans="2:12" x14ac:dyDescent="0.3">
      <c r="B277">
        <f t="shared" si="26"/>
        <v>26</v>
      </c>
      <c r="C277" s="7">
        <f t="shared" si="28"/>
        <v>433.28869245225684</v>
      </c>
      <c r="D277" s="7">
        <f t="shared" si="28"/>
        <v>345.37980877721338</v>
      </c>
      <c r="E277" s="7">
        <f t="shared" si="28"/>
        <v>257.43581756581528</v>
      </c>
      <c r="F277" s="7">
        <f t="shared" si="28"/>
        <v>169.75402327502843</v>
      </c>
      <c r="G277" s="7">
        <f t="shared" si="28"/>
        <v>82.96041801947689</v>
      </c>
      <c r="H277" s="7">
        <f t="shared" si="28"/>
        <v>371.82295186321096</v>
      </c>
      <c r="I277" s="7">
        <f t="shared" si="28"/>
        <v>399.27467112218596</v>
      </c>
      <c r="J277" s="7">
        <f t="shared" si="28"/>
        <v>433.28869245225684</v>
      </c>
      <c r="K277" s="7">
        <f t="shared" si="28"/>
        <v>466.94241509949723</v>
      </c>
      <c r="L277" s="7">
        <f t="shared" si="28"/>
        <v>431.93484839604383</v>
      </c>
    </row>
    <row r="278" spans="2:12" x14ac:dyDescent="0.3">
      <c r="B278">
        <f t="shared" si="26"/>
        <v>27</v>
      </c>
      <c r="C278" s="7">
        <f t="shared" si="28"/>
        <v>449.26458967528146</v>
      </c>
      <c r="D278" s="7">
        <f t="shared" si="28"/>
        <v>358.18408388672447</v>
      </c>
      <c r="E278" s="7">
        <f t="shared" si="28"/>
        <v>267.03128112208839</v>
      </c>
      <c r="F278" s="7">
        <f t="shared" si="28"/>
        <v>176.11492062514546</v>
      </c>
      <c r="G278" s="7">
        <f t="shared" si="28"/>
        <v>86.085071130313054</v>
      </c>
      <c r="H278" s="7">
        <f t="shared" si="28"/>
        <v>385.39839830746337</v>
      </c>
      <c r="I278" s="7">
        <f t="shared" si="28"/>
        <v>413.92212351455044</v>
      </c>
      <c r="J278" s="7">
        <f t="shared" si="28"/>
        <v>449.26458967528146</v>
      </c>
      <c r="K278" s="7">
        <f t="shared" si="28"/>
        <v>484.23289951159234</v>
      </c>
      <c r="L278" s="7">
        <f t="shared" si="28"/>
        <v>447.85786616418562</v>
      </c>
    </row>
    <row r="279" spans="2:12" x14ac:dyDescent="0.3">
      <c r="B279">
        <f t="shared" si="26"/>
        <v>28</v>
      </c>
      <c r="C279" s="7">
        <f t="shared" si="28"/>
        <v>465.18599770784937</v>
      </c>
      <c r="D279" s="7">
        <f t="shared" si="28"/>
        <v>370.95007714755388</v>
      </c>
      <c r="E279" s="7">
        <f t="shared" si="28"/>
        <v>276.602015419613</v>
      </c>
      <c r="F279" s="7">
        <f t="shared" si="28"/>
        <v>182.4619865546054</v>
      </c>
      <c r="G279" s="7">
        <f t="shared" si="28"/>
        <v>89.204135906741655</v>
      </c>
      <c r="H279" s="7">
        <f t="shared" si="28"/>
        <v>398.91614001327787</v>
      </c>
      <c r="I279" s="7">
        <f t="shared" si="28"/>
        <v>428.5133003008653</v>
      </c>
      <c r="J279" s="7">
        <f t="shared" si="28"/>
        <v>465.18599770784937</v>
      </c>
      <c r="K279" s="7">
        <f t="shared" si="28"/>
        <v>501.47068114882973</v>
      </c>
      <c r="L279" s="7">
        <f t="shared" si="28"/>
        <v>463.72632328524674</v>
      </c>
    </row>
    <row r="280" spans="2:12" x14ac:dyDescent="0.3">
      <c r="B280">
        <f t="shared" si="26"/>
        <v>29</v>
      </c>
      <c r="C280" s="7">
        <f t="shared" si="28"/>
        <v>481.05244718832182</v>
      </c>
      <c r="D280" s="7">
        <f t="shared" si="28"/>
        <v>383.67741307039051</v>
      </c>
      <c r="E280" s="7">
        <f t="shared" si="28"/>
        <v>286.14773884140584</v>
      </c>
      <c r="F280" s="7">
        <f t="shared" si="28"/>
        <v>188.79503331875273</v>
      </c>
      <c r="G280" s="7">
        <f t="shared" si="28"/>
        <v>92.317518476434927</v>
      </c>
      <c r="H280" s="7">
        <f t="shared" si="28"/>
        <v>412.37563677792048</v>
      </c>
      <c r="I280" s="7">
        <f t="shared" si="28"/>
        <v>443.04769276332576</v>
      </c>
      <c r="J280" s="7">
        <f t="shared" si="28"/>
        <v>481.05244718832182</v>
      </c>
      <c r="K280" s="7">
        <f t="shared" si="28"/>
        <v>518.65533000573691</v>
      </c>
      <c r="L280" s="7">
        <f t="shared" si="28"/>
        <v>479.53974882334194</v>
      </c>
    </row>
    <row r="281" spans="2:12" x14ac:dyDescent="0.3">
      <c r="B281">
        <f t="shared" si="26"/>
        <v>30</v>
      </c>
      <c r="C281" s="7">
        <f t="shared" si="28"/>
        <v>496.86345057696832</v>
      </c>
      <c r="D281" s="7">
        <f t="shared" si="28"/>
        <v>396.36570162345032</v>
      </c>
      <c r="E281" s="7">
        <f t="shared" si="28"/>
        <v>295.66815886362878</v>
      </c>
      <c r="F281" s="7">
        <f t="shared" si="28"/>
        <v>195.11386590169525</v>
      </c>
      <c r="G281" s="7">
        <f t="shared" si="28"/>
        <v>95.425121331446732</v>
      </c>
      <c r="H281" s="7">
        <f t="shared" si="28"/>
        <v>425.77632747693281</v>
      </c>
      <c r="I281" s="7">
        <f t="shared" si="28"/>
        <v>457.52477248179497</v>
      </c>
      <c r="J281" s="7">
        <f t="shared" si="28"/>
        <v>496.86345057696832</v>
      </c>
      <c r="K281" s="7">
        <f t="shared" si="28"/>
        <v>535.78639942298992</v>
      </c>
      <c r="L281" s="7">
        <f t="shared" si="28"/>
        <v>495.29765360352428</v>
      </c>
    </row>
    <row r="282" spans="2:12" x14ac:dyDescent="0.3">
      <c r="B282">
        <f t="shared" si="26"/>
        <v>31</v>
      </c>
      <c r="C282" s="7">
        <f t="shared" si="28"/>
        <v>512.61850116135213</v>
      </c>
      <c r="D282" s="7">
        <f t="shared" si="28"/>
        <v>409.01453743678337</v>
      </c>
      <c r="E282" s="7">
        <f t="shared" si="28"/>
        <v>305.16297145881953</v>
      </c>
      <c r="F282" s="7">
        <f t="shared" si="28"/>
        <v>201.41828161845822</v>
      </c>
      <c r="G282" s="7">
        <f t="shared" si="28"/>
        <v>98.526843129289787</v>
      </c>
      <c r="H282" s="7">
        <f t="shared" si="28"/>
        <v>439.11762891940009</v>
      </c>
      <c r="I282" s="7">
        <f t="shared" si="28"/>
        <v>471.94399025579031</v>
      </c>
      <c r="J282" s="7">
        <f t="shared" si="28"/>
        <v>512.61850116135213</v>
      </c>
      <c r="K282" s="7">
        <f t="shared" si="28"/>
        <v>552.86342517619812</v>
      </c>
      <c r="L282" s="7">
        <f t="shared" si="28"/>
        <v>510.99952921383522</v>
      </c>
    </row>
    <row r="283" spans="2:12" x14ac:dyDescent="0.3">
      <c r="B283">
        <f t="shared" si="26"/>
        <v>32</v>
      </c>
      <c r="C283" s="7">
        <f t="shared" si="28"/>
        <v>528.31707199137327</v>
      </c>
      <c r="D283" s="7">
        <f t="shared" si="28"/>
        <v>421.62349895031008</v>
      </c>
      <c r="E283" s="7">
        <f t="shared" si="28"/>
        <v>314.63186045691822</v>
      </c>
      <c r="F283" s="7">
        <f t="shared" si="28"/>
        <v>207.70806968900175</v>
      </c>
      <c r="G283" s="7">
        <f t="shared" si="28"/>
        <v>101.62257847994407</v>
      </c>
      <c r="H283" s="7">
        <f t="shared" si="28"/>
        <v>452.39893462225859</v>
      </c>
      <c r="I283" s="7">
        <f t="shared" si="28"/>
        <v>486.30477495022956</v>
      </c>
      <c r="J283" s="7">
        <f t="shared" si="28"/>
        <v>528.31707199137327</v>
      </c>
      <c r="K283" s="7">
        <f t="shared" si="28"/>
        <v>569.88592450024396</v>
      </c>
      <c r="L283" s="7">
        <f t="shared" si="28"/>
        <v>526.64484693677537</v>
      </c>
    </row>
    <row r="284" spans="2:12" x14ac:dyDescent="0.3">
      <c r="B284">
        <f t="shared" si="26"/>
        <v>33</v>
      </c>
      <c r="C284" s="7">
        <f t="shared" ref="C284:L299" si="29">C80*C182</f>
        <v>543.9586147378501</v>
      </c>
      <c r="D284" s="7">
        <f t="shared" si="29"/>
        <v>434.19214750068511</v>
      </c>
      <c r="E284" s="7">
        <f t="shared" si="29"/>
        <v>324.07449686041593</v>
      </c>
      <c r="F284" s="7">
        <f t="shared" si="29"/>
        <v>213.98301078165309</v>
      </c>
      <c r="G284" s="7">
        <f t="shared" si="29"/>
        <v>104.71221771757325</v>
      </c>
      <c r="H284" s="7">
        <f t="shared" si="29"/>
        <v>465.61961349660322</v>
      </c>
      <c r="I284" s="7">
        <f t="shared" si="29"/>
        <v>500.60653225830464</v>
      </c>
      <c r="J284" s="7">
        <f t="shared" si="29"/>
        <v>543.9586147378501</v>
      </c>
      <c r="K284" s="7">
        <f t="shared" si="29"/>
        <v>586.85339504357273</v>
      </c>
      <c r="L284" s="7">
        <f t="shared" si="29"/>
        <v>542.23305660405833</v>
      </c>
    </row>
    <row r="285" spans="2:12" x14ac:dyDescent="0.3">
      <c r="B285">
        <f t="shared" si="26"/>
        <v>34</v>
      </c>
      <c r="C285" s="7">
        <f t="shared" si="29"/>
        <v>559.54255846788601</v>
      </c>
      <c r="D285" s="7">
        <f t="shared" si="29"/>
        <v>446.72002634159099</v>
      </c>
      <c r="E285" s="7">
        <f t="shared" si="29"/>
        <v>333.49053810957463</v>
      </c>
      <c r="F285" s="7">
        <f t="shared" si="29"/>
        <v>220.24287652325367</v>
      </c>
      <c r="G285" s="7">
        <f t="shared" si="29"/>
        <v>107.79564665559808</v>
      </c>
      <c r="H285" s="7">
        <f t="shared" si="29"/>
        <v>478.7790084382184</v>
      </c>
      <c r="I285" s="7">
        <f t="shared" si="29"/>
        <v>514.84864337416116</v>
      </c>
      <c r="J285" s="7">
        <f t="shared" si="29"/>
        <v>559.54255846788601</v>
      </c>
      <c r="K285" s="7">
        <f t="shared" si="29"/>
        <v>603.76531374624631</v>
      </c>
      <c r="L285" s="7">
        <f t="shared" si="29"/>
        <v>557.76358536786893</v>
      </c>
    </row>
    <row r="286" spans="2:12" x14ac:dyDescent="0.3">
      <c r="B286">
        <f t="shared" si="26"/>
        <v>35</v>
      </c>
      <c r="C286" s="7">
        <f t="shared" si="29"/>
        <v>575.06830832955643</v>
      </c>
      <c r="D286" s="7">
        <f t="shared" si="29"/>
        <v>459.20665959148829</v>
      </c>
      <c r="E286" s="7">
        <f t="shared" si="29"/>
        <v>342.87962729323965</v>
      </c>
      <c r="F286" s="7">
        <f t="shared" si="29"/>
        <v>226.48742897303356</v>
      </c>
      <c r="G286" s="7">
        <f t="shared" si="29"/>
        <v>110.87274632363358</v>
      </c>
      <c r="H286" s="7">
        <f t="shared" si="29"/>
        <v>491.87643481374448</v>
      </c>
      <c r="I286" s="7">
        <f t="shared" si="29"/>
        <v>529.03046356729669</v>
      </c>
      <c r="J286" s="7">
        <f t="shared" si="29"/>
        <v>575.06830832955643</v>
      </c>
      <c r="K286" s="7">
        <f t="shared" si="29"/>
        <v>620.62113563491778</v>
      </c>
      <c r="L286" s="7">
        <f t="shared" si="29"/>
        <v>573.23583638113962</v>
      </c>
    </row>
    <row r="287" spans="2:12" x14ac:dyDescent="0.3">
      <c r="B287">
        <f t="shared" si="26"/>
        <v>36</v>
      </c>
      <c r="C287" s="7">
        <f t="shared" si="29"/>
        <v>590.5352441376557</v>
      </c>
      <c r="D287" s="7">
        <f t="shared" si="29"/>
        <v>471.65155110221218</v>
      </c>
      <c r="E287" s="7">
        <f t="shared" si="29"/>
        <v>352.24139230028743</v>
      </c>
      <c r="F287" s="7">
        <f t="shared" si="29"/>
        <v>232.71642005691066</v>
      </c>
      <c r="G287" s="7">
        <f t="shared" si="29"/>
        <v>113.94339268463862</v>
      </c>
      <c r="H287" s="7">
        <f t="shared" si="29"/>
        <v>504.91117883296994</v>
      </c>
      <c r="I287" s="7">
        <f t="shared" si="29"/>
        <v>543.15132064972136</v>
      </c>
      <c r="J287" s="7">
        <f t="shared" si="29"/>
        <v>590.5352441376557</v>
      </c>
      <c r="K287" s="7">
        <f t="shared" si="29"/>
        <v>637.42029252716611</v>
      </c>
      <c r="L287" s="7">
        <f t="shared" si="29"/>
        <v>588.64918737855305</v>
      </c>
    </row>
    <row r="288" spans="2:12" x14ac:dyDescent="0.3">
      <c r="B288">
        <f t="shared" si="26"/>
        <v>37</v>
      </c>
      <c r="C288" s="7">
        <f t="shared" si="29"/>
        <v>605.94271885134356</v>
      </c>
      <c r="D288" s="7">
        <f t="shared" si="29"/>
        <v>484.05418324109081</v>
      </c>
      <c r="E288" s="7">
        <f t="shared" si="29"/>
        <v>361.57544490621399</v>
      </c>
      <c r="F288" s="7">
        <f t="shared" si="29"/>
        <v>238.9295909585488</v>
      </c>
      <c r="G288" s="7">
        <f t="shared" si="29"/>
        <v>117.00745633044519</v>
      </c>
      <c r="H288" s="7">
        <f t="shared" si="29"/>
        <v>517.88249579670878</v>
      </c>
      <c r="I288" s="7">
        <f t="shared" si="29"/>
        <v>557.21051332595516</v>
      </c>
      <c r="J288" s="7">
        <f t="shared" si="29"/>
        <v>605.94271885134356</v>
      </c>
      <c r="K288" s="7">
        <f t="shared" si="29"/>
        <v>654.16219163679136</v>
      </c>
      <c r="L288" s="7">
        <f t="shared" si="29"/>
        <v>604.00298914908365</v>
      </c>
    </row>
    <row r="289" spans="2:12" x14ac:dyDescent="0.3">
      <c r="B289">
        <f t="shared" si="26"/>
        <v>38</v>
      </c>
      <c r="C289" s="7">
        <f t="shared" si="29"/>
        <v>621.29005693352349</v>
      </c>
      <c r="D289" s="7">
        <f t="shared" si="29"/>
        <v>496.41401557844682</v>
      </c>
      <c r="E289" s="7">
        <f t="shared" si="29"/>
        <v>370.88137978876114</v>
      </c>
      <c r="F289" s="7">
        <f t="shared" si="29"/>
        <v>245.12667146310926</v>
      </c>
      <c r="G289" s="7">
        <f t="shared" si="29"/>
        <v>120.06480215363401</v>
      </c>
      <c r="H289" s="7">
        <f t="shared" si="29"/>
        <v>530.78960820855752</v>
      </c>
      <c r="I289" s="7">
        <f t="shared" si="29"/>
        <v>571.20730941483907</v>
      </c>
      <c r="J289" s="7">
        <f t="shared" si="29"/>
        <v>621.29005693352349</v>
      </c>
      <c r="K289" s="7">
        <f t="shared" si="29"/>
        <v>670.84621407075986</v>
      </c>
      <c r="L289" s="7">
        <f t="shared" si="29"/>
        <v>619.29656388987235</v>
      </c>
    </row>
    <row r="290" spans="2:12" x14ac:dyDescent="0.3">
      <c r="B290">
        <f t="shared" si="26"/>
        <v>39</v>
      </c>
      <c r="C290" s="7">
        <f t="shared" si="29"/>
        <v>636.57655258064005</v>
      </c>
      <c r="D290" s="7">
        <f t="shared" si="29"/>
        <v>508.73048347143572</v>
      </c>
      <c r="E290" s="7">
        <f t="shared" si="29"/>
        <v>380.15877346579606</v>
      </c>
      <c r="F290" s="7">
        <f t="shared" si="29"/>
        <v>251.30737924917008</v>
      </c>
      <c r="G290" s="7">
        <f t="shared" si="29"/>
        <v>123.11528899349391</v>
      </c>
      <c r="H290" s="7">
        <f t="shared" si="29"/>
        <v>543.63170373751609</v>
      </c>
      <c r="I290" s="7">
        <f t="shared" si="29"/>
        <v>585.14094393089988</v>
      </c>
      <c r="J290" s="7">
        <f t="shared" si="29"/>
        <v>636.57655258064005</v>
      </c>
      <c r="K290" s="7">
        <f t="shared" si="29"/>
        <v>687.47171320743462</v>
      </c>
      <c r="L290" s="7">
        <f t="shared" si="29"/>
        <v>634.52920343008691</v>
      </c>
    </row>
    <row r="291" spans="2:12" x14ac:dyDescent="0.3">
      <c r="B291">
        <f t="shared" si="26"/>
        <v>40</v>
      </c>
      <c r="C291" s="7">
        <f t="shared" si="29"/>
        <v>651.80146781029828</v>
      </c>
      <c r="D291" s="7">
        <f t="shared" si="29"/>
        <v>521.00299653414174</v>
      </c>
      <c r="E291" s="7">
        <f t="shared" si="29"/>
        <v>389.40718314788154</v>
      </c>
      <c r="F291" s="7">
        <f t="shared" si="29"/>
        <v>257.47141912377316</v>
      </c>
      <c r="G291" s="7">
        <f t="shared" si="29"/>
        <v>126.15876925354603</v>
      </c>
      <c r="H291" s="7">
        <f t="shared" si="29"/>
        <v>556.40793301696851</v>
      </c>
      <c r="I291" s="7">
        <f t="shared" si="29"/>
        <v>599.0106170116162</v>
      </c>
      <c r="J291" s="7">
        <f t="shared" si="29"/>
        <v>651.80146781029828</v>
      </c>
      <c r="K291" s="7">
        <f t="shared" si="29"/>
        <v>704.0380129445474</v>
      </c>
      <c r="L291" s="7">
        <f t="shared" si="29"/>
        <v>649.70016731212729</v>
      </c>
    </row>
    <row r="292" spans="2:12" x14ac:dyDescent="0.3">
      <c r="B292">
        <f t="shared" si="26"/>
        <v>41</v>
      </c>
      <c r="C292" s="7">
        <f t="shared" si="29"/>
        <v>666.96403039264158</v>
      </c>
      <c r="D292" s="7">
        <f t="shared" si="29"/>
        <v>533.23093698267928</v>
      </c>
      <c r="E292" s="7">
        <f t="shared" si="29"/>
        <v>398.62614549710338</v>
      </c>
      <c r="F292" s="7">
        <f t="shared" si="29"/>
        <v>263.6184821949758</v>
      </c>
      <c r="G292" s="7">
        <f t="shared" si="29"/>
        <v>129.19508848781888</v>
      </c>
      <c r="H292" s="7">
        <f t="shared" si="29"/>
        <v>569.11740726384289</v>
      </c>
      <c r="I292" s="7">
        <f t="shared" si="29"/>
        <v>612.81549167534081</v>
      </c>
      <c r="J292" s="7">
        <f t="shared" si="29"/>
        <v>666.96403039264158</v>
      </c>
      <c r="K292" s="7">
        <f t="shared" si="29"/>
        <v>720.54440580403229</v>
      </c>
      <c r="L292" s="7">
        <f t="shared" si="29"/>
        <v>664.80868071606528</v>
      </c>
    </row>
    <row r="293" spans="2:12" x14ac:dyDescent="0.3">
      <c r="B293">
        <f t="shared" si="26"/>
        <v>42</v>
      </c>
      <c r="C293" s="7">
        <f t="shared" si="29"/>
        <v>682.06343160976678</v>
      </c>
      <c r="D293" s="7">
        <f t="shared" si="29"/>
        <v>545.41365784272625</v>
      </c>
      <c r="E293" s="7">
        <f t="shared" si="29"/>
        <v>407.81517528272025</v>
      </c>
      <c r="F293" s="7">
        <f t="shared" si="29"/>
        <v>269.74824497561684</v>
      </c>
      <c r="G293" s="7">
        <f t="shared" si="29"/>
        <v>132.22408495273206</v>
      </c>
      <c r="H293" s="7">
        <f t="shared" si="29"/>
        <v>581.75919569985444</v>
      </c>
      <c r="I293" s="7">
        <f t="shared" si="29"/>
        <v>626.5546913928431</v>
      </c>
      <c r="J293" s="7">
        <f t="shared" si="29"/>
        <v>682.06343160976678</v>
      </c>
      <c r="K293" s="7">
        <f t="shared" si="29"/>
        <v>736.99015087931502</v>
      </c>
      <c r="L293" s="7">
        <f t="shared" si="29"/>
        <v>679.85393221154459</v>
      </c>
    </row>
    <row r="294" spans="2:12" x14ac:dyDescent="0.3">
      <c r="B294">
        <f t="shared" si="26"/>
        <v>43</v>
      </c>
      <c r="C294" s="7">
        <f t="shared" si="29"/>
        <v>697.09882382557237</v>
      </c>
      <c r="D294" s="7">
        <f t="shared" si="29"/>
        <v>557.55048100540125</v>
      </c>
      <c r="E294" s="7">
        <f t="shared" si="29"/>
        <v>416.97376392307081</v>
      </c>
      <c r="F294" s="7">
        <f t="shared" si="29"/>
        <v>275.86036841125576</v>
      </c>
      <c r="G294" s="7">
        <f t="shared" si="29"/>
        <v>135.24558912106511</v>
      </c>
      <c r="H294" s="7">
        <f t="shared" si="29"/>
        <v>594.33232275456726</v>
      </c>
      <c r="I294" s="7">
        <f t="shared" si="29"/>
        <v>640.22729745338688</v>
      </c>
      <c r="J294" s="7">
        <f t="shared" si="29"/>
        <v>697.09882382557237</v>
      </c>
      <c r="K294" s="7">
        <f t="shared" si="29"/>
        <v>753.37447160892918</v>
      </c>
      <c r="L294" s="7">
        <f t="shared" si="29"/>
        <v>694.8350713194784</v>
      </c>
    </row>
    <row r="295" spans="2:12" x14ac:dyDescent="0.3">
      <c r="B295">
        <f t="shared" si="26"/>
        <v>44</v>
      </c>
      <c r="C295" s="7">
        <f t="shared" si="29"/>
        <v>712.06931784627523</v>
      </c>
      <c r="D295" s="7">
        <f t="shared" si="29"/>
        <v>569.64069511567732</v>
      </c>
      <c r="E295" s="7">
        <f t="shared" si="29"/>
        <v>426.1013779018852</v>
      </c>
      <c r="F295" s="7">
        <f t="shared" si="29"/>
        <v>281.95449682437902</v>
      </c>
      <c r="G295" s="7">
        <f t="shared" si="29"/>
        <v>138.25942315406147</v>
      </c>
      <c r="H295" s="7">
        <f t="shared" si="29"/>
        <v>606.8357650275334</v>
      </c>
      <c r="I295" s="7">
        <f t="shared" si="29"/>
        <v>653.83234610392469</v>
      </c>
      <c r="J295" s="7">
        <f t="shared" si="29"/>
        <v>712.06931784627523</v>
      </c>
      <c r="K295" s="7">
        <f t="shared" si="29"/>
        <v>769.69655335835523</v>
      </c>
      <c r="L295" s="7">
        <f t="shared" si="29"/>
        <v>709.75120586371247</v>
      </c>
    </row>
    <row r="296" spans="2:12" x14ac:dyDescent="0.3">
      <c r="B296">
        <f t="shared" si="26"/>
        <v>45</v>
      </c>
      <c r="C296" s="7">
        <f t="shared" si="29"/>
        <v>726.97398004937861</v>
      </c>
      <c r="D296" s="7">
        <f t="shared" si="29"/>
        <v>581.6835532755581</v>
      </c>
      <c r="E296" s="7">
        <f t="shared" si="29"/>
        <v>435.1974570456656</v>
      </c>
      <c r="F296" s="7">
        <f t="shared" si="29"/>
        <v>288.03025676598821</v>
      </c>
      <c r="G296" s="7">
        <f t="shared" si="29"/>
        <v>141.26540032722178</v>
      </c>
      <c r="H296" s="7">
        <f t="shared" si="29"/>
        <v>619.26844798393347</v>
      </c>
      <c r="I296" s="7">
        <f t="shared" si="29"/>
        <v>667.36882543733168</v>
      </c>
      <c r="J296" s="7">
        <f t="shared" si="29"/>
        <v>726.97398004937861</v>
      </c>
      <c r="K296" s="7">
        <f t="shared" si="29"/>
        <v>785.95554078972737</v>
      </c>
      <c r="L296" s="7">
        <f t="shared" si="29"/>
        <v>724.60139909036559</v>
      </c>
    </row>
    <row r="297" spans="2:12" x14ac:dyDescent="0.3">
      <c r="B297">
        <f t="shared" si="26"/>
        <v>46</v>
      </c>
      <c r="C297" s="7">
        <f t="shared" si="29"/>
        <v>741.81182925605981</v>
      </c>
      <c r="D297" s="7">
        <f t="shared" si="29"/>
        <v>593.67827054198449</v>
      </c>
      <c r="E297" s="7">
        <f t="shared" si="29"/>
        <v>444.26141264711828</v>
      </c>
      <c r="F297" s="7">
        <f t="shared" si="29"/>
        <v>294.0872557645543</v>
      </c>
      <c r="G297" s="7">
        <f t="shared" si="29"/>
        <v>144.2633244047816</v>
      </c>
      <c r="H297" s="7">
        <f t="shared" si="29"/>
        <v>631.62924235491107</v>
      </c>
      <c r="I297" s="7">
        <f t="shared" si="29"/>
        <v>680.83567200253799</v>
      </c>
      <c r="J297" s="7">
        <f t="shared" si="29"/>
        <v>741.81182925605981</v>
      </c>
      <c r="K297" s="7">
        <f t="shared" si="29"/>
        <v>802.15053499646945</v>
      </c>
      <c r="L297" s="7">
        <f t="shared" si="29"/>
        <v>739.38466652972511</v>
      </c>
    </row>
    <row r="298" spans="2:12" x14ac:dyDescent="0.3">
      <c r="B298">
        <f t="shared" si="26"/>
        <v>47</v>
      </c>
      <c r="C298" s="7">
        <f t="shared" si="29"/>
        <v>756.58183331870202</v>
      </c>
      <c r="D298" s="7">
        <f t="shared" si="29"/>
        <v>605.62402119686362</v>
      </c>
      <c r="E298" s="7">
        <f t="shared" si="29"/>
        <v>453.29262541767321</v>
      </c>
      <c r="F298" s="7">
        <f t="shared" si="29"/>
        <v>300.12508096103033</v>
      </c>
      <c r="G298" s="7">
        <f t="shared" si="29"/>
        <v>147.25298895721753</v>
      </c>
      <c r="H298" s="7">
        <f t="shared" si="29"/>
        <v>643.91696021005941</v>
      </c>
      <c r="I298" s="7">
        <f t="shared" si="29"/>
        <v>694.23176710592588</v>
      </c>
      <c r="J298" s="7">
        <f t="shared" si="29"/>
        <v>756.58183331870202</v>
      </c>
      <c r="K298" s="7">
        <f t="shared" si="29"/>
        <v>818.28059037696676</v>
      </c>
      <c r="L298" s="7">
        <f t="shared" si="29"/>
        <v>754.09997257233374</v>
      </c>
    </row>
    <row r="299" spans="2:12" x14ac:dyDescent="0.3">
      <c r="B299">
        <f t="shared" si="26"/>
        <v>48</v>
      </c>
      <c r="C299" s="7">
        <f t="shared" si="29"/>
        <v>771.28290539158706</v>
      </c>
      <c r="D299" s="7">
        <f t="shared" si="29"/>
        <v>617.51993576362077</v>
      </c>
      <c r="E299" s="7">
        <f t="shared" si="29"/>
        <v>462.29044324989945</v>
      </c>
      <c r="F299" s="7">
        <f t="shared" si="29"/>
        <v>306.14329761712929</v>
      </c>
      <c r="G299" s="7">
        <f t="shared" si="29"/>
        <v>150.23417661538588</v>
      </c>
      <c r="H299" s="7">
        <f t="shared" si="29"/>
        <v>656.13035066524594</v>
      </c>
      <c r="I299" s="7">
        <f t="shared" si="29"/>
        <v>707.55593276931802</v>
      </c>
      <c r="J299" s="7">
        <f t="shared" si="29"/>
        <v>771.28290539158706</v>
      </c>
      <c r="K299" s="7">
        <f t="shared" si="29"/>
        <v>834.34471121796128</v>
      </c>
      <c r="L299" s="7">
        <f t="shared" si="29"/>
        <v>768.7462267271751</v>
      </c>
    </row>
    <row r="300" spans="2:12" x14ac:dyDescent="0.3">
      <c r="B300">
        <f t="shared" si="26"/>
        <v>49</v>
      </c>
      <c r="C300" s="7">
        <f t="shared" ref="C300:L315" si="30">C96*C198</f>
        <v>785.91389984846285</v>
      </c>
      <c r="D300" s="7">
        <f t="shared" si="30"/>
        <v>629.36509774125398</v>
      </c>
      <c r="E300" s="7">
        <f t="shared" si="30"/>
        <v>471.25417876804562</v>
      </c>
      <c r="F300" s="7">
        <f t="shared" si="30"/>
        <v>312.1414474823502</v>
      </c>
      <c r="G300" s="7">
        <f t="shared" si="30"/>
        <v>153.20665825403631</v>
      </c>
      <c r="H300" s="7">
        <f t="shared" si="30"/>
        <v>668.26809518401569</v>
      </c>
      <c r="I300" s="7">
        <f t="shared" si="30"/>
        <v>720.80692730523128</v>
      </c>
      <c r="J300" s="7">
        <f t="shared" si="30"/>
        <v>785.91389984846285</v>
      </c>
      <c r="K300" s="7">
        <f t="shared" si="30"/>
        <v>850.34184795443218</v>
      </c>
      <c r="L300" s="7">
        <f t="shared" si="30"/>
        <v>783.32227952554786</v>
      </c>
    </row>
    <row r="301" spans="2:12" x14ac:dyDescent="0.3">
      <c r="B301">
        <f t="shared" si="26"/>
        <v>50</v>
      </c>
      <c r="C301" s="7">
        <f t="shared" si="30"/>
        <v>800.47360780573513</v>
      </c>
      <c r="D301" s="7">
        <f t="shared" si="30"/>
        <v>641.15854002288825</v>
      </c>
      <c r="E301" s="7">
        <f t="shared" si="30"/>
        <v>480.18310664195536</v>
      </c>
      <c r="F301" s="7">
        <f t="shared" si="30"/>
        <v>318.11904700325533</v>
      </c>
      <c r="G301" s="7">
        <f t="shared" si="30"/>
        <v>156.17019209644997</v>
      </c>
      <c r="H301" s="7">
        <f t="shared" si="30"/>
        <v>680.32880242509589</v>
      </c>
      <c r="I301" s="7">
        <f t="shared" si="30"/>
        <v>733.98344046468617</v>
      </c>
      <c r="J301" s="7">
        <f t="shared" si="30"/>
        <v>800.47360780573513</v>
      </c>
      <c r="K301" s="7">
        <f t="shared" si="30"/>
        <v>866.27089306817186</v>
      </c>
      <c r="L301" s="7">
        <f t="shared" si="30"/>
        <v>797.82691802924205</v>
      </c>
    </row>
    <row r="302" spans="2:12" x14ac:dyDescent="0.3">
      <c r="B302">
        <f t="shared" si="26"/>
        <v>51</v>
      </c>
      <c r="C302" s="7">
        <f t="shared" si="30"/>
        <v>814.96075220427224</v>
      </c>
      <c r="D302" s="7">
        <f t="shared" si="30"/>
        <v>652.89924096121808</v>
      </c>
      <c r="E302" s="7">
        <f t="shared" si="30"/>
        <v>489.07646063614965</v>
      </c>
      <c r="F302" s="7">
        <f t="shared" si="30"/>
        <v>324.07558535619205</v>
      </c>
      <c r="G302" s="7">
        <f t="shared" si="30"/>
        <v>159.12452273080058</v>
      </c>
      <c r="H302" s="7">
        <f t="shared" si="30"/>
        <v>692.31100258189315</v>
      </c>
      <c r="I302" s="7">
        <f t="shared" si="30"/>
        <v>747.08408810661956</v>
      </c>
      <c r="J302" s="7">
        <f t="shared" si="30"/>
        <v>814.96075220427224</v>
      </c>
      <c r="K302" s="7">
        <f t="shared" si="30"/>
        <v>882.13067658198145</v>
      </c>
      <c r="L302" s="7">
        <f t="shared" si="30"/>
        <v>812.2588608958489</v>
      </c>
    </row>
    <row r="303" spans="2:12" x14ac:dyDescent="0.3">
      <c r="B303">
        <f t="shared" si="26"/>
        <v>52</v>
      </c>
      <c r="C303" s="7">
        <f t="shared" si="30"/>
        <v>829.37398239610229</v>
      </c>
      <c r="D303" s="7">
        <f t="shared" si="30"/>
        <v>664.58612003786607</v>
      </c>
      <c r="E303" s="7">
        <f t="shared" si="30"/>
        <v>497.93343036184541</v>
      </c>
      <c r="F303" s="7">
        <f t="shared" si="30"/>
        <v>330.01052228197176</v>
      </c>
      <c r="G303" s="7">
        <f t="shared" si="30"/>
        <v>162.06938002749374</v>
      </c>
      <c r="H303" s="7">
        <f t="shared" si="30"/>
        <v>704.21314115215682</v>
      </c>
      <c r="I303" s="7">
        <f t="shared" si="30"/>
        <v>760.10740633067337</v>
      </c>
      <c r="J303" s="7">
        <f t="shared" si="30"/>
        <v>829.37398239610229</v>
      </c>
      <c r="K303" s="7">
        <f t="shared" si="30"/>
        <v>897.91996110027617</v>
      </c>
      <c r="L303" s="7">
        <f t="shared" si="30"/>
        <v>826.61675294730128</v>
      </c>
    </row>
    <row r="304" spans="2:12" x14ac:dyDescent="0.3">
      <c r="B304">
        <f t="shared" si="26"/>
        <v>53</v>
      </c>
      <c r="C304" s="7">
        <f t="shared" si="30"/>
        <v>843.71186817446369</v>
      </c>
      <c r="D304" s="7">
        <f t="shared" si="30"/>
        <v>676.2180330874229</v>
      </c>
      <c r="E304" s="7">
        <f t="shared" si="30"/>
        <v>506.75315769498559</v>
      </c>
      <c r="F304" s="7">
        <f t="shared" si="30"/>
        <v>335.92328569788975</v>
      </c>
      <c r="G304" s="7">
        <f t="shared" si="30"/>
        <v>165.00447794517714</v>
      </c>
      <c r="H304" s="7">
        <f t="shared" si="30"/>
        <v>716.03357206698183</v>
      </c>
      <c r="I304" s="7">
        <f t="shared" si="30"/>
        <v>773.05184500666257</v>
      </c>
      <c r="J304" s="7">
        <f t="shared" si="30"/>
        <v>843.71186817446369</v>
      </c>
      <c r="K304" s="7">
        <f t="shared" si="30"/>
        <v>913.63743633971922</v>
      </c>
      <c r="L304" s="7">
        <f t="shared" si="30"/>
        <v>840.89915917990038</v>
      </c>
    </row>
    <row r="305" spans="2:12" x14ac:dyDescent="0.3">
      <c r="B305">
        <f t="shared" si="26"/>
        <v>54</v>
      </c>
      <c r="C305" s="7">
        <f t="shared" si="30"/>
        <v>857.9728931765078</v>
      </c>
      <c r="D305" s="7">
        <f t="shared" si="30"/>
        <v>687.7937670196095</v>
      </c>
      <c r="E305" s="7">
        <f t="shared" si="30"/>
        <v>515.53473281786103</v>
      </c>
      <c r="F305" s="7">
        <f t="shared" si="30"/>
        <v>341.81326905880661</v>
      </c>
      <c r="G305" s="7">
        <f t="shared" si="30"/>
        <v>167.92951321128112</v>
      </c>
      <c r="H305" s="7">
        <f t="shared" si="30"/>
        <v>727.77055009777541</v>
      </c>
      <c r="I305" s="7">
        <f t="shared" si="30"/>
        <v>785.91576062409194</v>
      </c>
      <c r="J305" s="7">
        <f t="shared" si="30"/>
        <v>857.9728931765078</v>
      </c>
      <c r="K305" s="7">
        <f t="shared" si="30"/>
        <v>929.2817130851098</v>
      </c>
      <c r="L305" s="7">
        <f t="shared" si="30"/>
        <v>855.1045581448916</v>
      </c>
    </row>
    <row r="306" spans="2:12" x14ac:dyDescent="0.3">
      <c r="B306">
        <f t="shared" si="26"/>
        <v>55</v>
      </c>
      <c r="C306" s="7">
        <f t="shared" si="30"/>
        <v>872.15544757720068</v>
      </c>
      <c r="D306" s="7">
        <f t="shared" si="30"/>
        <v>699.31203397439901</v>
      </c>
      <c r="E306" s="7">
        <f t="shared" si="30"/>
        <v>524.2771898354514</v>
      </c>
      <c r="F306" s="7">
        <f t="shared" si="30"/>
        <v>347.67982843470867</v>
      </c>
      <c r="G306" s="7">
        <f t="shared" si="30"/>
        <v>170.84416386079891</v>
      </c>
      <c r="H306" s="7">
        <f t="shared" si="30"/>
        <v>739.42222244744505</v>
      </c>
      <c r="I306" s="7">
        <f t="shared" si="30"/>
        <v>798.69740837343841</v>
      </c>
      <c r="J306" s="7">
        <f t="shared" si="30"/>
        <v>872.15544757720068</v>
      </c>
      <c r="K306" s="7">
        <f t="shared" si="30"/>
        <v>944.85131649590414</v>
      </c>
      <c r="L306" s="7">
        <f t="shared" si="30"/>
        <v>869.23133461786142</v>
      </c>
    </row>
    <row r="307" spans="2:12" x14ac:dyDescent="0.3">
      <c r="B307">
        <f t="shared" si="26"/>
        <v>56</v>
      </c>
      <c r="C307" s="7">
        <f t="shared" si="30"/>
        <v>886.25781998029879</v>
      </c>
      <c r="D307" s="7">
        <f t="shared" si="30"/>
        <v>710.77146483479635</v>
      </c>
      <c r="E307" s="7">
        <f t="shared" si="30"/>
        <v>532.97950191001053</v>
      </c>
      <c r="F307" s="7">
        <f t="shared" si="30"/>
        <v>353.52227926709867</v>
      </c>
      <c r="G307" s="7">
        <f t="shared" si="30"/>
        <v>173.74808761448176</v>
      </c>
      <c r="H307" s="7">
        <f t="shared" si="30"/>
        <v>750.98661941747264</v>
      </c>
      <c r="I307" s="7">
        <f t="shared" si="30"/>
        <v>811.39493335718237</v>
      </c>
      <c r="J307" s="7">
        <f t="shared" si="30"/>
        <v>886.25781998029879</v>
      </c>
      <c r="K307" s="7">
        <f t="shared" si="30"/>
        <v>960.34467867713715</v>
      </c>
      <c r="L307" s="7">
        <f t="shared" si="30"/>
        <v>883.27777146251515</v>
      </c>
    </row>
    <row r="308" spans="2:12" x14ac:dyDescent="0.3">
      <c r="B308">
        <f t="shared" si="26"/>
        <v>57</v>
      </c>
      <c r="C308" s="7">
        <f t="shared" si="30"/>
        <v>900.27818839729036</v>
      </c>
      <c r="D308" s="7">
        <f t="shared" si="30"/>
        <v>722.17060200999219</v>
      </c>
      <c r="E308" s="7">
        <f t="shared" si="30"/>
        <v>541.64057584843169</v>
      </c>
      <c r="F308" s="7">
        <f t="shared" si="30"/>
        <v>359.33989276057184</v>
      </c>
      <c r="G308" s="7">
        <f t="shared" si="30"/>
        <v>176.64092007462747</v>
      </c>
      <c r="H308" s="7">
        <f t="shared" si="30"/>
        <v>762.46164402530223</v>
      </c>
      <c r="I308" s="7">
        <f t="shared" si="30"/>
        <v>824.00636081232835</v>
      </c>
      <c r="J308" s="7">
        <f t="shared" si="30"/>
        <v>900.27818839729036</v>
      </c>
      <c r="K308" s="7">
        <f t="shared" si="30"/>
        <v>975.76013041478268</v>
      </c>
      <c r="L308" s="7">
        <f t="shared" si="30"/>
        <v>897.24204057936208</v>
      </c>
    </row>
    <row r="309" spans="2:12" x14ac:dyDescent="0.3">
      <c r="B309">
        <f t="shared" si="26"/>
        <v>58</v>
      </c>
      <c r="C309" s="7">
        <f t="shared" si="30"/>
        <v>914.2146101874182</v>
      </c>
      <c r="D309" s="7">
        <f t="shared" si="30"/>
        <v>733.50789138738128</v>
      </c>
      <c r="E309" s="7">
        <f t="shared" si="30"/>
        <v>550.25924606626018</v>
      </c>
      <c r="F309" s="7">
        <f t="shared" si="30"/>
        <v>365.13189185882538</v>
      </c>
      <c r="G309" s="7">
        <f t="shared" si="30"/>
        <v>179.52227271308459</v>
      </c>
      <c r="H309" s="7">
        <f t="shared" si="30"/>
        <v>773.84506042600185</v>
      </c>
      <c r="I309" s="7">
        <f t="shared" si="30"/>
        <v>836.5295852068956</v>
      </c>
      <c r="J309" s="7">
        <f t="shared" si="30"/>
        <v>914.2146101874182</v>
      </c>
      <c r="K309" s="7">
        <f t="shared" si="30"/>
        <v>991.09589195930857</v>
      </c>
      <c r="L309" s="7">
        <f t="shared" si="30"/>
        <v>911.12219281199532</v>
      </c>
    </row>
    <row r="310" spans="2:12" x14ac:dyDescent="0.3">
      <c r="B310">
        <f t="shared" si="26"/>
        <v>59</v>
      </c>
      <c r="C310" s="7">
        <f t="shared" si="30"/>
        <v>928.06501081071065</v>
      </c>
      <c r="D310" s="7">
        <f t="shared" si="30"/>
        <v>744.78167333498516</v>
      </c>
      <c r="E310" s="7">
        <f t="shared" si="30"/>
        <v>558.83426783951325</v>
      </c>
      <c r="F310" s="7">
        <f t="shared" si="30"/>
        <v>370.89744674587064</v>
      </c>
      <c r="G310" s="7">
        <f t="shared" si="30"/>
        <v>182.3917306218587</v>
      </c>
      <c r="H310" s="7">
        <f t="shared" si="30"/>
        <v>785.134480967782</v>
      </c>
      <c r="I310" s="7">
        <f t="shared" si="30"/>
        <v>848.9623580498851</v>
      </c>
      <c r="J310" s="7">
        <f t="shared" si="30"/>
        <v>928.06501081071065</v>
      </c>
      <c r="K310" s="7">
        <f t="shared" si="30"/>
        <v>1006.3500627217725</v>
      </c>
      <c r="L310" s="7">
        <f t="shared" si="30"/>
        <v>924.91614666240207</v>
      </c>
    </row>
    <row r="311" spans="2:12" x14ac:dyDescent="0.3">
      <c r="B311">
        <f t="shared" si="26"/>
        <v>60</v>
      </c>
      <c r="C311" s="7">
        <f t="shared" si="30"/>
        <v>941.82717122062718</v>
      </c>
      <c r="D311" s="7">
        <f t="shared" si="30"/>
        <v>755.99017261557242</v>
      </c>
      <c r="E311" s="7">
        <f t="shared" si="30"/>
        <v>567.36430974026632</v>
      </c>
      <c r="F311" s="7">
        <f t="shared" si="30"/>
        <v>376.63566980309139</v>
      </c>
      <c r="G311" s="7">
        <f t="shared" si="30"/>
        <v>185.24884999164186</v>
      </c>
      <c r="H311" s="7">
        <f t="shared" si="30"/>
        <v>796.32735168180511</v>
      </c>
      <c r="I311" s="7">
        <f t="shared" si="30"/>
        <v>861.30227422679536</v>
      </c>
      <c r="J311" s="7">
        <f t="shared" si="30"/>
        <v>941.82717122062718</v>
      </c>
      <c r="K311" s="7">
        <f t="shared" si="30"/>
        <v>1021.5206097235974</v>
      </c>
      <c r="L311" s="7">
        <f t="shared" si="30"/>
        <v>938.62167564132392</v>
      </c>
    </row>
    <row r="312" spans="2:12" x14ac:dyDescent="0.3">
      <c r="B312">
        <f t="shared" si="26"/>
        <v>61</v>
      </c>
      <c r="C312" s="7">
        <f t="shared" si="30"/>
        <v>955.49871369249536</v>
      </c>
      <c r="D312" s="7">
        <f t="shared" si="30"/>
        <v>767.13148704940477</v>
      </c>
      <c r="E312" s="7">
        <f t="shared" si="30"/>
        <v>575.84794513371628</v>
      </c>
      <c r="F312" s="7">
        <f t="shared" si="30"/>
        <v>382.34560994061877</v>
      </c>
      <c r="G312" s="7">
        <f t="shared" si="30"/>
        <v>188.09315527749962</v>
      </c>
      <c r="H312" s="7">
        <f t="shared" si="30"/>
        <v>807.42093597169787</v>
      </c>
      <c r="I312" s="7">
        <f t="shared" si="30"/>
        <v>873.54675663976502</v>
      </c>
      <c r="J312" s="7">
        <f t="shared" si="30"/>
        <v>955.49871369249536</v>
      </c>
      <c r="K312" s="7">
        <f t="shared" si="30"/>
        <v>1036.6053546133023</v>
      </c>
      <c r="L312" s="7">
        <f t="shared" si="30"/>
        <v>952.23639404916025</v>
      </c>
    </row>
    <row r="313" spans="2:12" x14ac:dyDescent="0.3">
      <c r="B313">
        <f t="shared" si="26"/>
        <v>62</v>
      </c>
      <c r="C313" s="7">
        <f t="shared" si="30"/>
        <v>969.07708584721763</v>
      </c>
      <c r="D313" s="7">
        <f t="shared" si="30"/>
        <v>778.20357473320439</v>
      </c>
      <c r="E313" s="7">
        <f t="shared" si="30"/>
        <v>584.2836425924047</v>
      </c>
      <c r="F313" s="7">
        <f t="shared" si="30"/>
        <v>388.02624620681371</v>
      </c>
      <c r="G313" s="7">
        <f t="shared" si="30"/>
        <v>190.92413600361249</v>
      </c>
      <c r="H313" s="7">
        <f t="shared" si="30"/>
        <v>818.41229622594392</v>
      </c>
      <c r="I313" s="7">
        <f t="shared" si="30"/>
        <v>885.69303889166429</v>
      </c>
      <c r="J313" s="7">
        <f t="shared" si="30"/>
        <v>969.07708584721763</v>
      </c>
      <c r="K313" s="7">
        <f t="shared" si="30"/>
        <v>1051.6019590298251</v>
      </c>
      <c r="L313" s="7">
        <f t="shared" si="30"/>
        <v>965.75774094609221</v>
      </c>
    </row>
    <row r="314" spans="2:12" x14ac:dyDescent="0.3">
      <c r="B314">
        <f t="shared" si="26"/>
        <v>63</v>
      </c>
      <c r="C314" s="7">
        <f t="shared" si="30"/>
        <v>982.55954258525981</v>
      </c>
      <c r="D314" s="7">
        <f t="shared" si="30"/>
        <v>789.20423958734364</v>
      </c>
      <c r="E314" s="7">
        <f t="shared" si="30"/>
        <v>592.66975505661048</v>
      </c>
      <c r="F314" s="7">
        <f t="shared" si="30"/>
        <v>393.6764805618626</v>
      </c>
      <c r="G314" s="7">
        <f t="shared" si="30"/>
        <v>193.74124315007364</v>
      </c>
      <c r="H314" s="7">
        <f t="shared" si="30"/>
        <v>829.29827302515787</v>
      </c>
      <c r="I314" s="7">
        <f t="shared" si="30"/>
        <v>897.73814570523734</v>
      </c>
      <c r="J314" s="7">
        <f t="shared" si="30"/>
        <v>982.55954258525981</v>
      </c>
      <c r="K314" s="7">
        <f t="shared" si="30"/>
        <v>1066.5079080513558</v>
      </c>
      <c r="L314" s="7">
        <f t="shared" si="30"/>
        <v>979.18296202547663</v>
      </c>
    </row>
    <row r="315" spans="2:12" x14ac:dyDescent="0.3">
      <c r="B315">
        <f t="shared" si="26"/>
        <v>64</v>
      </c>
      <c r="C315" s="7">
        <f t="shared" si="30"/>
        <v>995.94312559177968</v>
      </c>
      <c r="D315" s="7">
        <f t="shared" si="30"/>
        <v>800.1311149599486</v>
      </c>
      <c r="E315" s="7">
        <f t="shared" si="30"/>
        <v>601.00450753742882</v>
      </c>
      <c r="F315" s="7">
        <f t="shared" si="30"/>
        <v>399.29512967982851</v>
      </c>
      <c r="G315" s="7">
        <f t="shared" si="30"/>
        <v>196.54388505391469</v>
      </c>
      <c r="H315" s="7">
        <f t="shared" si="30"/>
        <v>840.07546155390799</v>
      </c>
      <c r="I315" s="7">
        <f t="shared" si="30"/>
        <v>909.67887070973154</v>
      </c>
      <c r="J315" s="7">
        <f t="shared" si="30"/>
        <v>995.94312559177968</v>
      </c>
      <c r="K315" s="7">
        <f t="shared" si="30"/>
        <v>1081.3204914189666</v>
      </c>
      <c r="L315" s="7">
        <f t="shared" si="30"/>
        <v>992.50908905023471</v>
      </c>
    </row>
    <row r="316" spans="2:12" x14ac:dyDescent="0.3">
      <c r="B316">
        <f t="shared" ref="B316:B351" si="31">B112</f>
        <v>65</v>
      </c>
      <c r="C316" s="7">
        <f t="shared" ref="C316:L331" si="32">C112*C214</f>
        <v>1009.2246400074905</v>
      </c>
      <c r="D316" s="7">
        <f t="shared" si="32"/>
        <v>810.98164496359038</v>
      </c>
      <c r="E316" s="7">
        <f t="shared" si="32"/>
        <v>609.28598311928783</v>
      </c>
      <c r="F316" s="7">
        <f t="shared" si="32"/>
        <v>404.8809156169969</v>
      </c>
      <c r="G316" s="7">
        <f t="shared" si="32"/>
        <v>199.33142274327847</v>
      </c>
      <c r="H316" s="7">
        <f t="shared" si="32"/>
        <v>850.7401847504965</v>
      </c>
      <c r="I316" s="7">
        <f t="shared" si="32"/>
        <v>921.51175115559965</v>
      </c>
      <c r="J316" s="7">
        <f t="shared" si="32"/>
        <v>1009.2246400074905</v>
      </c>
      <c r="K316" s="7">
        <f t="shared" si="32"/>
        <v>1096.0367821636348</v>
      </c>
      <c r="L316" s="7">
        <f t="shared" si="32"/>
        <v>1005.7329164454693</v>
      </c>
    </row>
    <row r="317" spans="2:12" x14ac:dyDescent="0.3">
      <c r="B317">
        <f t="shared" si="31"/>
        <v>66</v>
      </c>
      <c r="C317" s="7">
        <f t="shared" si="32"/>
        <v>1022.4006277783196</v>
      </c>
      <c r="D317" s="7">
        <f t="shared" si="32"/>
        <v>821.75306315501086</v>
      </c>
      <c r="E317" s="7">
        <f t="shared" si="32"/>
        <v>617.51210696974351</v>
      </c>
      <c r="F317" s="7">
        <f t="shared" si="32"/>
        <v>410.43245515173896</v>
      </c>
      <c r="G317" s="7">
        <f t="shared" si="32"/>
        <v>202.10316460735041</v>
      </c>
      <c r="H317" s="7">
        <f t="shared" si="32"/>
        <v>861.28846263426362</v>
      </c>
      <c r="I317" s="7">
        <f t="shared" si="32"/>
        <v>933.2330390295192</v>
      </c>
      <c r="J317" s="7">
        <f t="shared" si="32"/>
        <v>1022.4006277783196</v>
      </c>
      <c r="K317" s="7">
        <f t="shared" si="32"/>
        <v>1110.6536121905426</v>
      </c>
      <c r="L317" s="7">
        <f t="shared" si="32"/>
        <v>1018.8509745587378</v>
      </c>
    </row>
    <row r="318" spans="2:12" x14ac:dyDescent="0.3">
      <c r="B318">
        <f t="shared" si="31"/>
        <v>67</v>
      </c>
      <c r="C318" s="7">
        <f t="shared" si="32"/>
        <v>1035.4673370960431</v>
      </c>
      <c r="D318" s="7">
        <f t="shared" si="32"/>
        <v>832.44236808763048</v>
      </c>
      <c r="E318" s="7">
        <f t="shared" si="32"/>
        <v>625.68062800386201</v>
      </c>
      <c r="F318" s="7">
        <f t="shared" si="32"/>
        <v>415.9482475607648</v>
      </c>
      <c r="G318" s="7">
        <f t="shared" si="32"/>
        <v>204.85836028448588</v>
      </c>
      <c r="H318" s="7">
        <f t="shared" si="32"/>
        <v>871.71597713387473</v>
      </c>
      <c r="I318" s="7">
        <f t="shared" si="32"/>
        <v>944.83866793261006</v>
      </c>
      <c r="J318" s="7">
        <f t="shared" si="32"/>
        <v>1035.4673370960431</v>
      </c>
      <c r="K318" s="7">
        <f t="shared" si="32"/>
        <v>1125.167544282127</v>
      </c>
      <c r="L318" s="7">
        <f t="shared" si="32"/>
        <v>1031.8594989981891</v>
      </c>
    </row>
    <row r="319" spans="2:12" x14ac:dyDescent="0.3">
      <c r="B319">
        <f t="shared" si="31"/>
        <v>68</v>
      </c>
      <c r="C319" s="7">
        <f t="shared" si="32"/>
        <v>1048.4206872165284</v>
      </c>
      <c r="D319" s="7">
        <f t="shared" si="32"/>
        <v>843.04629516614375</v>
      </c>
      <c r="E319" s="7">
        <f t="shared" si="32"/>
        <v>633.78909777516344</v>
      </c>
      <c r="F319" s="7">
        <f t="shared" si="32"/>
        <v>421.42666054642177</v>
      </c>
      <c r="G319" s="7">
        <f t="shared" si="32"/>
        <v>207.59619362585843</v>
      </c>
      <c r="H319" s="7">
        <f t="shared" si="32"/>
        <v>882.01803159555811</v>
      </c>
      <c r="I319" s="7">
        <f t="shared" si="32"/>
        <v>956.32421494867299</v>
      </c>
      <c r="J319" s="7">
        <f t="shared" si="32"/>
        <v>1048.4206872165284</v>
      </c>
      <c r="K319" s="7">
        <f t="shared" si="32"/>
        <v>1139.5748398663275</v>
      </c>
      <c r="L319" s="7">
        <f t="shared" si="32"/>
        <v>1044.7543953328088</v>
      </c>
    </row>
    <row r="320" spans="2:12" x14ac:dyDescent="0.3">
      <c r="B320">
        <f t="shared" si="31"/>
        <v>69</v>
      </c>
      <c r="C320" s="7">
        <f t="shared" si="32"/>
        <v>1061.2562277849695</v>
      </c>
      <c r="D320" s="7">
        <f t="shared" si="32"/>
        <v>853.5612841067051</v>
      </c>
      <c r="E320" s="7">
        <f t="shared" si="32"/>
        <v>641.83484607076468</v>
      </c>
      <c r="F320" s="7">
        <f t="shared" si="32"/>
        <v>426.86591396678733</v>
      </c>
      <c r="G320" s="7">
        <f t="shared" si="32"/>
        <v>210.3157745605069</v>
      </c>
      <c r="H320" s="7">
        <f t="shared" si="32"/>
        <v>892.18950396926709</v>
      </c>
      <c r="I320" s="7">
        <f t="shared" si="32"/>
        <v>967.6848565588291</v>
      </c>
      <c r="J320" s="7">
        <f t="shared" si="32"/>
        <v>1061.2562277849695</v>
      </c>
      <c r="K320" s="7">
        <f t="shared" si="32"/>
        <v>1153.8714217524164</v>
      </c>
      <c r="L320" s="7">
        <f t="shared" si="32"/>
        <v>1057.5311982812266</v>
      </c>
    </row>
    <row r="321" spans="2:12" x14ac:dyDescent="0.3">
      <c r="B321">
        <f t="shared" si="31"/>
        <v>70</v>
      </c>
      <c r="C321" s="7">
        <f t="shared" si="32"/>
        <v>1073.9690915992501</v>
      </c>
      <c r="D321" s="7">
        <f t="shared" si="32"/>
        <v>863.98344114762278</v>
      </c>
      <c r="E321" s="7">
        <f t="shared" si="32"/>
        <v>649.81495256939559</v>
      </c>
      <c r="F321" s="7">
        <f t="shared" si="32"/>
        <v>432.26406094101515</v>
      </c>
      <c r="G321" s="7">
        <f t="shared" si="32"/>
        <v>213.01612964800816</v>
      </c>
      <c r="H321" s="7">
        <f t="shared" si="32"/>
        <v>902.224792442585</v>
      </c>
      <c r="I321" s="7">
        <f t="shared" si="32"/>
        <v>978.91531744407246</v>
      </c>
      <c r="J321" s="7">
        <f t="shared" si="32"/>
        <v>1073.9690915992501</v>
      </c>
      <c r="K321" s="7">
        <f t="shared" si="32"/>
        <v>1168.0528308551754</v>
      </c>
      <c r="L321" s="7">
        <f t="shared" si="32"/>
        <v>1070.1850243166512</v>
      </c>
    </row>
    <row r="322" spans="2:12" x14ac:dyDescent="0.3">
      <c r="B322">
        <f t="shared" si="31"/>
        <v>71</v>
      </c>
      <c r="C322" s="7">
        <f t="shared" si="32"/>
        <v>1086.5539394908626</v>
      </c>
      <c r="D322" s="7">
        <f t="shared" si="32"/>
        <v>874.30849495408927</v>
      </c>
      <c r="E322" s="7">
        <f t="shared" si="32"/>
        <v>657.72621376995153</v>
      </c>
      <c r="F322" s="7">
        <f t="shared" si="32"/>
        <v>437.61896580170213</v>
      </c>
      <c r="G322" s="7">
        <f t="shared" si="32"/>
        <v>215.69619105466086</v>
      </c>
      <c r="H322" s="7">
        <f t="shared" si="32"/>
        <v>912.11775200248405</v>
      </c>
      <c r="I322" s="7">
        <f t="shared" si="32"/>
        <v>990.0098107444303</v>
      </c>
      <c r="J322" s="7">
        <f t="shared" si="32"/>
        <v>1086.5539394908626</v>
      </c>
      <c r="K322" s="7">
        <f t="shared" si="32"/>
        <v>1182.114175697569</v>
      </c>
      <c r="L322" s="7">
        <f t="shared" si="32"/>
        <v>1082.7105163629153</v>
      </c>
    </row>
    <row r="323" spans="2:12" x14ac:dyDescent="0.3">
      <c r="B323">
        <f t="shared" si="31"/>
        <v>72</v>
      </c>
      <c r="C323" s="7">
        <f t="shared" si="32"/>
        <v>1099.0048956808328</v>
      </c>
      <c r="D323" s="7">
        <f t="shared" si="32"/>
        <v>884.53174490292622</v>
      </c>
      <c r="E323" s="7">
        <f t="shared" si="32"/>
        <v>665.56510420504856</v>
      </c>
      <c r="F323" s="7">
        <f t="shared" si="32"/>
        <v>442.92827823725878</v>
      </c>
      <c r="G323" s="7">
        <f t="shared" si="32"/>
        <v>218.35478362467032</v>
      </c>
      <c r="H323" s="7">
        <f t="shared" si="32"/>
        <v>921.86162003447396</v>
      </c>
      <c r="I323" s="7">
        <f t="shared" si="32"/>
        <v>1000.961967994457</v>
      </c>
      <c r="J323" s="7">
        <f t="shared" si="32"/>
        <v>1099.0048956808328</v>
      </c>
      <c r="K323" s="7">
        <f t="shared" si="32"/>
        <v>1196.0500731871048</v>
      </c>
      <c r="L323" s="7">
        <f t="shared" si="32"/>
        <v>1095.1017789335867</v>
      </c>
    </row>
    <row r="324" spans="2:12" x14ac:dyDescent="0.3">
      <c r="B324">
        <f t="shared" si="31"/>
        <v>73</v>
      </c>
      <c r="C324" s="7">
        <f t="shared" si="32"/>
        <v>1111.315471552952</v>
      </c>
      <c r="D324" s="7">
        <f t="shared" si="32"/>
        <v>894.64800010116664</v>
      </c>
      <c r="E324" s="7">
        <f t="shared" si="32"/>
        <v>673.32773070496137</v>
      </c>
      <c r="F324" s="7">
        <f t="shared" si="32"/>
        <v>448.18940280120211</v>
      </c>
      <c r="G324" s="7">
        <f t="shared" si="32"/>
        <v>220.99060963479494</v>
      </c>
      <c r="H324" s="7">
        <f t="shared" si="32"/>
        <v>931.44892859087497</v>
      </c>
      <c r="I324" s="7">
        <f t="shared" si="32"/>
        <v>1011.7647565048196</v>
      </c>
      <c r="J324" s="7">
        <f t="shared" si="32"/>
        <v>1111.315471552952</v>
      </c>
      <c r="K324" s="7">
        <f t="shared" si="32"/>
        <v>1209.8545787807082</v>
      </c>
      <c r="L324" s="7">
        <f t="shared" si="32"/>
        <v>1107.3523016495305</v>
      </c>
    </row>
    <row r="325" spans="2:12" x14ac:dyDescent="0.3">
      <c r="B325">
        <f t="shared" si="31"/>
        <v>74</v>
      </c>
      <c r="C325" s="7">
        <f t="shared" si="32"/>
        <v>1123.4784752467538</v>
      </c>
      <c r="D325" s="7">
        <f t="shared" si="32"/>
        <v>904.65150706043698</v>
      </c>
      <c r="E325" s="7">
        <f t="shared" si="32"/>
        <v>681.00977815341025</v>
      </c>
      <c r="F325" s="7">
        <f t="shared" si="32"/>
        <v>453.39946274934522</v>
      </c>
      <c r="G325" s="7">
        <f t="shared" si="32"/>
        <v>223.60223071294175</v>
      </c>
      <c r="H325" s="7">
        <f t="shared" si="32"/>
        <v>940.87140033859919</v>
      </c>
      <c r="I325" s="7">
        <f t="shared" si="32"/>
        <v>1022.4103813746088</v>
      </c>
      <c r="J325" s="7">
        <f t="shared" si="32"/>
        <v>1123.4784752467538</v>
      </c>
      <c r="K325" s="7">
        <f t="shared" si="32"/>
        <v>1223.521103658368</v>
      </c>
      <c r="L325" s="7">
        <f t="shared" si="32"/>
        <v>1119.4548685286622</v>
      </c>
    </row>
    <row r="326" spans="2:12" x14ac:dyDescent="0.3">
      <c r="B326">
        <f t="shared" si="31"/>
        <v>75</v>
      </c>
      <c r="C326" s="7">
        <f t="shared" si="32"/>
        <v>1135.4859037642602</v>
      </c>
      <c r="D326" s="7">
        <f t="shared" si="32"/>
        <v>914.53586338235573</v>
      </c>
      <c r="E326" s="7">
        <f t="shared" si="32"/>
        <v>688.60644475160825</v>
      </c>
      <c r="F326" s="7">
        <f t="shared" si="32"/>
        <v>458.55525688249736</v>
      </c>
      <c r="G326" s="7">
        <f t="shared" si="32"/>
        <v>226.18804625951526</v>
      </c>
      <c r="H326" s="7">
        <f t="shared" si="32"/>
        <v>950.11982438149676</v>
      </c>
      <c r="I326" s="7">
        <f t="shared" si="32"/>
        <v>1032.8901685511923</v>
      </c>
      <c r="J326" s="7">
        <f t="shared" si="32"/>
        <v>1135.4859037642602</v>
      </c>
      <c r="K326" s="7">
        <f t="shared" si="32"/>
        <v>1237.0423158767742</v>
      </c>
      <c r="L326" s="7">
        <f t="shared" si="32"/>
        <v>1131.4014497308176</v>
      </c>
    </row>
    <row r="327" spans="2:12" x14ac:dyDescent="0.3">
      <c r="B327">
        <f t="shared" si="31"/>
        <v>76</v>
      </c>
      <c r="C327" s="7">
        <f t="shared" si="32"/>
        <v>1147.3288133458423</v>
      </c>
      <c r="D327" s="7">
        <f t="shared" si="32"/>
        <v>924.29391405921854</v>
      </c>
      <c r="E327" s="7">
        <f t="shared" si="32"/>
        <v>696.11236424377842</v>
      </c>
      <c r="F327" s="7">
        <f t="shared" si="32"/>
        <v>463.65320769680704</v>
      </c>
      <c r="G327" s="7">
        <f t="shared" si="32"/>
        <v>228.74626752258982</v>
      </c>
      <c r="H327" s="7">
        <f t="shared" si="32"/>
        <v>959.18390707195033</v>
      </c>
      <c r="I327" s="7">
        <f t="shared" si="32"/>
        <v>1043.1944243370388</v>
      </c>
      <c r="J327" s="7">
        <f t="shared" si="32"/>
        <v>1147.3288133458423</v>
      </c>
      <c r="K327" s="7">
        <f t="shared" si="32"/>
        <v>1250.4100216142178</v>
      </c>
      <c r="L327" s="7">
        <f t="shared" si="32"/>
        <v>1143.1830714988503</v>
      </c>
    </row>
    <row r="328" spans="2:12" x14ac:dyDescent="0.3">
      <c r="B328">
        <f t="shared" si="31"/>
        <v>77</v>
      </c>
      <c r="C328" s="7">
        <f t="shared" si="32"/>
        <v>1158.9971626136562</v>
      </c>
      <c r="D328" s="7">
        <f t="shared" si="32"/>
        <v>933.91762598875152</v>
      </c>
      <c r="E328" s="7">
        <f t="shared" si="32"/>
        <v>703.52151180321448</v>
      </c>
      <c r="F328" s="7">
        <f t="shared" si="32"/>
        <v>468.68929864113687</v>
      </c>
      <c r="G328" s="7">
        <f t="shared" si="32"/>
        <v>231.27488622659729</v>
      </c>
      <c r="H328" s="7">
        <f t="shared" si="32"/>
        <v>968.05209147984795</v>
      </c>
      <c r="I328" s="7">
        <f t="shared" si="32"/>
        <v>1053.3122653806656</v>
      </c>
      <c r="J328" s="7">
        <f t="shared" si="32"/>
        <v>1158.9971626136562</v>
      </c>
      <c r="K328" s="7">
        <f t="shared" si="32"/>
        <v>1263.615021466512</v>
      </c>
      <c r="L328" s="7">
        <f t="shared" si="32"/>
        <v>1154.7896587759706</v>
      </c>
    </row>
    <row r="329" spans="2:12" x14ac:dyDescent="0.3">
      <c r="B329">
        <f t="shared" si="31"/>
        <v>78</v>
      </c>
      <c r="C329" s="7">
        <f t="shared" si="32"/>
        <v>1170.479621279165</v>
      </c>
      <c r="D329" s="7">
        <f t="shared" si="32"/>
        <v>943.39793494012497</v>
      </c>
      <c r="E329" s="7">
        <f t="shared" si="32"/>
        <v>710.82708925679469</v>
      </c>
      <c r="F329" s="7">
        <f t="shared" si="32"/>
        <v>473.65899760007244</v>
      </c>
      <c r="G329" s="7">
        <f t="shared" si="32"/>
        <v>233.77163631383047</v>
      </c>
      <c r="H329" s="7">
        <f t="shared" si="32"/>
        <v>976.71133722819661</v>
      </c>
      <c r="I329" s="7">
        <f t="shared" si="32"/>
        <v>1063.2314113442112</v>
      </c>
      <c r="J329" s="7">
        <f t="shared" si="32"/>
        <v>1170.479621279165</v>
      </c>
      <c r="K329" s="7">
        <f t="shared" si="32"/>
        <v>1276.6469351944684</v>
      </c>
      <c r="L329" s="7">
        <f t="shared" si="32"/>
        <v>1166.2098432716678</v>
      </c>
    </row>
    <row r="330" spans="2:12" x14ac:dyDescent="0.3">
      <c r="B330">
        <f t="shared" si="31"/>
        <v>79</v>
      </c>
      <c r="C330" s="7">
        <f t="shared" si="32"/>
        <v>1181.7633348783643</v>
      </c>
      <c r="D330" s="7">
        <f t="shared" si="32"/>
        <v>952.72455734213497</v>
      </c>
      <c r="E330" s="7">
        <f t="shared" si="32"/>
        <v>718.0213839261163</v>
      </c>
      <c r="F330" s="7">
        <f t="shared" si="32"/>
        <v>478.55716278801248</v>
      </c>
      <c r="G330" s="7">
        <f t="shared" si="32"/>
        <v>236.23394689148878</v>
      </c>
      <c r="H330" s="7">
        <f t="shared" si="32"/>
        <v>985.14684971967642</v>
      </c>
      <c r="I330" s="7">
        <f t="shared" si="32"/>
        <v>1072.9379299116088</v>
      </c>
      <c r="J330" s="7">
        <f t="shared" si="32"/>
        <v>1181.7633348783643</v>
      </c>
      <c r="K330" s="7">
        <f t="shared" si="32"/>
        <v>1289.4939861861703</v>
      </c>
      <c r="L330" s="7">
        <f t="shared" si="32"/>
        <v>1177.4307274078533</v>
      </c>
    </row>
    <row r="331" spans="2:12" x14ac:dyDescent="0.3">
      <c r="B331">
        <f t="shared" si="31"/>
        <v>80</v>
      </c>
      <c r="C331" s="7">
        <f t="shared" si="32"/>
        <v>1192.8336327582003</v>
      </c>
      <c r="D331" s="7">
        <f t="shared" si="32"/>
        <v>961.88575667233943</v>
      </c>
      <c r="E331" s="7">
        <f t="shared" si="32"/>
        <v>725.09559341934755</v>
      </c>
      <c r="F331" s="7">
        <f t="shared" si="32"/>
        <v>483.37792594373565</v>
      </c>
      <c r="G331" s="7">
        <f t="shared" si="32"/>
        <v>238.65888382896227</v>
      </c>
      <c r="H331" s="7">
        <f t="shared" si="32"/>
        <v>993.34174404925102</v>
      </c>
      <c r="I331" s="7">
        <f t="shared" si="32"/>
        <v>1082.4159202895539</v>
      </c>
      <c r="J331" s="7">
        <f t="shared" si="32"/>
        <v>1192.8336327582003</v>
      </c>
      <c r="K331" s="7">
        <f t="shared" si="32"/>
        <v>1302.1427339288505</v>
      </c>
      <c r="L331" s="7">
        <f t="shared" si="32"/>
        <v>1188.4375913258632</v>
      </c>
    </row>
    <row r="332" spans="2:12" x14ac:dyDescent="0.3">
      <c r="B332">
        <f t="shared" si="31"/>
        <v>81</v>
      </c>
      <c r="C332" s="7">
        <f t="shared" ref="C332:L347" si="33">C128*C230</f>
        <v>1203.6736619724368</v>
      </c>
      <c r="D332" s="7">
        <f t="shared" si="33"/>
        <v>970.86805057374886</v>
      </c>
      <c r="E332" s="7">
        <f t="shared" si="33"/>
        <v>732.03960596874674</v>
      </c>
      <c r="F332" s="7">
        <f t="shared" si="33"/>
        <v>488.11454588874801</v>
      </c>
      <c r="G332" s="7">
        <f t="shared" si="33"/>
        <v>241.04307653700431</v>
      </c>
      <c r="H332" s="7">
        <f t="shared" si="33"/>
        <v>1001.2766236436888</v>
      </c>
      <c r="I332" s="7">
        <f t="shared" si="33"/>
        <v>1091.6471164053828</v>
      </c>
      <c r="J332" s="7">
        <f t="shared" si="33"/>
        <v>1203.6736619724368</v>
      </c>
      <c r="K332" s="7">
        <f t="shared" si="33"/>
        <v>1314.5777386027371</v>
      </c>
      <c r="L332" s="7">
        <f t="shared" si="33"/>
        <v>1199.2135255544019</v>
      </c>
    </row>
    <row r="333" spans="2:12" x14ac:dyDescent="0.3">
      <c r="B333">
        <f t="shared" si="31"/>
        <v>82</v>
      </c>
      <c r="C333" s="7">
        <f t="shared" si="33"/>
        <v>1214.263923211359</v>
      </c>
      <c r="D333" s="7">
        <f t="shared" si="33"/>
        <v>979.65583959859168</v>
      </c>
      <c r="E333" s="7">
        <f t="shared" si="33"/>
        <v>738.84172198848557</v>
      </c>
      <c r="F333" s="7">
        <f t="shared" si="33"/>
        <v>492.75922289916412</v>
      </c>
      <c r="G333" s="7">
        <f t="shared" si="33"/>
        <v>243.38262515367254</v>
      </c>
      <c r="H333" s="7">
        <f t="shared" si="33"/>
        <v>1008.9290461488257</v>
      </c>
      <c r="I333" s="7">
        <f t="shared" si="33"/>
        <v>1100.6103839242992</v>
      </c>
      <c r="J333" s="7">
        <f t="shared" si="33"/>
        <v>1214.263923211359</v>
      </c>
      <c r="K333" s="7">
        <f t="shared" si="33"/>
        <v>1326.7811359232462</v>
      </c>
      <c r="L333" s="7">
        <f t="shared" si="33"/>
        <v>1209.7389653827502</v>
      </c>
    </row>
    <row r="334" spans="2:12" x14ac:dyDescent="0.3">
      <c r="B334">
        <f t="shared" si="31"/>
        <v>83</v>
      </c>
      <c r="C334" s="7">
        <f t="shared" si="33"/>
        <v>1224.5816753762788</v>
      </c>
      <c r="D334" s="7">
        <f t="shared" si="33"/>
        <v>988.23093086791812</v>
      </c>
      <c r="E334" s="7">
        <f t="shared" si="33"/>
        <v>745.48829681935206</v>
      </c>
      <c r="F334" s="7">
        <f t="shared" si="33"/>
        <v>497.30286053550992</v>
      </c>
      <c r="G334" s="7">
        <f t="shared" si="33"/>
        <v>245.67298145923044</v>
      </c>
      <c r="H334" s="7">
        <f t="shared" si="33"/>
        <v>1016.2728381361036</v>
      </c>
      <c r="I334" s="7">
        <f t="shared" si="33"/>
        <v>1109.281074897207</v>
      </c>
      <c r="J334" s="7">
        <f t="shared" si="33"/>
        <v>1224.5816753762788</v>
      </c>
      <c r="K334" s="7">
        <f t="shared" si="33"/>
        <v>1338.732091642157</v>
      </c>
      <c r="L334" s="7">
        <f t="shared" si="33"/>
        <v>1219.9910934382012</v>
      </c>
    </row>
    <row r="335" spans="2:12" x14ac:dyDescent="0.3">
      <c r="B335">
        <f t="shared" si="31"/>
        <v>84</v>
      </c>
      <c r="C335" s="7">
        <f t="shared" si="33"/>
        <v>1234.600161293258</v>
      </c>
      <c r="D335" s="7">
        <f t="shared" si="33"/>
        <v>996.57191864257743</v>
      </c>
      <c r="E335" s="7">
        <f t="shared" si="33"/>
        <v>751.9632761569834</v>
      </c>
      <c r="F335" s="7">
        <f t="shared" si="33"/>
        <v>501.73475592821057</v>
      </c>
      <c r="G335" s="7">
        <f t="shared" si="33"/>
        <v>247.90879401889157</v>
      </c>
      <c r="H335" s="7">
        <f t="shared" si="33"/>
        <v>1023.2772039527478</v>
      </c>
      <c r="I335" s="7">
        <f t="shared" si="33"/>
        <v>1117.6301885502162</v>
      </c>
      <c r="J335" s="7">
        <f t="shared" si="33"/>
        <v>1234.600161293258</v>
      </c>
      <c r="K335" s="7">
        <f t="shared" si="33"/>
        <v>1350.4060921855585</v>
      </c>
      <c r="L335" s="7">
        <f t="shared" si="33"/>
        <v>1229.9430628028151</v>
      </c>
    </row>
    <row r="336" spans="2:12" x14ac:dyDescent="0.3">
      <c r="B336">
        <f t="shared" si="31"/>
        <v>85</v>
      </c>
      <c r="C336" s="7">
        <f t="shared" si="33"/>
        <v>1244.2875856697619</v>
      </c>
      <c r="D336" s="7">
        <f t="shared" si="33"/>
        <v>1004.6533666885432</v>
      </c>
      <c r="E336" s="7">
        <f t="shared" si="33"/>
        <v>758.24758282585935</v>
      </c>
      <c r="F336" s="7">
        <f t="shared" si="33"/>
        <v>506.04219096025361</v>
      </c>
      <c r="G336" s="7">
        <f t="shared" si="33"/>
        <v>250.08370377415062</v>
      </c>
      <c r="H336" s="7">
        <f t="shared" si="33"/>
        <v>1029.905549420748</v>
      </c>
      <c r="I336" s="7">
        <f t="shared" si="33"/>
        <v>1125.6232635425458</v>
      </c>
      <c r="J336" s="7">
        <f t="shared" si="33"/>
        <v>1244.2875856697619</v>
      </c>
      <c r="K336" s="7">
        <f t="shared" si="33"/>
        <v>1361.7740083092569</v>
      </c>
      <c r="L336" s="7">
        <f t="shared" si="33"/>
        <v>1239.5629715421253</v>
      </c>
    </row>
    <row r="337" spans="2:12" x14ac:dyDescent="0.3">
      <c r="B337">
        <f t="shared" si="31"/>
        <v>86</v>
      </c>
      <c r="C337" s="7">
        <f t="shared" si="33"/>
        <v>1253.6057432188265</v>
      </c>
      <c r="D337" s="7">
        <f t="shared" si="33"/>
        <v>1012.4447107762433</v>
      </c>
      <c r="E337" s="7">
        <f t="shared" si="33"/>
        <v>764.31829365380315</v>
      </c>
      <c r="F337" s="7">
        <f t="shared" si="33"/>
        <v>510.2098835168548</v>
      </c>
      <c r="G337" s="7">
        <f t="shared" si="33"/>
        <v>252.19006966761657</v>
      </c>
      <c r="H337" s="7">
        <f t="shared" si="33"/>
        <v>1036.1139029029023</v>
      </c>
      <c r="I337" s="7">
        <f t="shared" si="33"/>
        <v>1133.2188910583457</v>
      </c>
      <c r="J337" s="7">
        <f t="shared" si="33"/>
        <v>1253.6057432188265</v>
      </c>
      <c r="K337" s="7">
        <f t="shared" si="33"/>
        <v>1372.8008382552948</v>
      </c>
      <c r="L337" s="7">
        <f t="shared" si="33"/>
        <v>1248.8124862280065</v>
      </c>
    </row>
    <row r="338" spans="2:12" x14ac:dyDescent="0.3">
      <c r="B338">
        <f t="shared" si="31"/>
        <v>87</v>
      </c>
      <c r="C338" s="7">
        <f t="shared" si="33"/>
        <v>1262.5081420456697</v>
      </c>
      <c r="D338" s="7">
        <f t="shared" si="33"/>
        <v>1019.9087573898532</v>
      </c>
      <c r="E338" s="7">
        <f t="shared" si="33"/>
        <v>770.14751350394613</v>
      </c>
      <c r="F338" s="7">
        <f t="shared" si="33"/>
        <v>514.21923684010312</v>
      </c>
      <c r="G338" s="7">
        <f t="shared" si="33"/>
        <v>254.21859332033566</v>
      </c>
      <c r="H338" s="7">
        <f t="shared" si="33"/>
        <v>1041.8487554509547</v>
      </c>
      <c r="I338" s="7">
        <f t="shared" si="33"/>
        <v>1140.3666808385167</v>
      </c>
      <c r="J338" s="7">
        <f t="shared" si="33"/>
        <v>1262.5081420456697</v>
      </c>
      <c r="K338" s="7">
        <f t="shared" si="33"/>
        <v>1383.4439884933668</v>
      </c>
      <c r="L338" s="7">
        <f t="shared" si="33"/>
        <v>1257.6449590310986</v>
      </c>
    </row>
    <row r="339" spans="2:12" x14ac:dyDescent="0.3">
      <c r="B339">
        <f t="shared" si="31"/>
        <v>88</v>
      </c>
      <c r="C339" s="7">
        <f t="shared" si="33"/>
        <v>1270.9373807486018</v>
      </c>
      <c r="D339" s="7">
        <f t="shared" si="33"/>
        <v>1026.9995854080228</v>
      </c>
      <c r="E339" s="7">
        <f t="shared" si="33"/>
        <v>775.7008015352767</v>
      </c>
      <c r="F339" s="7">
        <f t="shared" si="33"/>
        <v>518.04729036932542</v>
      </c>
      <c r="G339" s="7">
        <f t="shared" si="33"/>
        <v>256.15779445197347</v>
      </c>
      <c r="H339" s="7">
        <f t="shared" si="33"/>
        <v>1047.0440420306588</v>
      </c>
      <c r="I339" s="7">
        <f t="shared" si="33"/>
        <v>1147.0044183504688</v>
      </c>
      <c r="J339" s="7">
        <f t="shared" si="33"/>
        <v>1270.9373807486018</v>
      </c>
      <c r="K339" s="7">
        <f t="shared" si="33"/>
        <v>1393.6508707528953</v>
      </c>
      <c r="L339" s="7">
        <f t="shared" si="33"/>
        <v>1266.0027960244679</v>
      </c>
    </row>
    <row r="340" spans="2:12" x14ac:dyDescent="0.3">
      <c r="B340">
        <f t="shared" si="31"/>
        <v>89</v>
      </c>
      <c r="C340" s="7">
        <f t="shared" si="33"/>
        <v>1278.8213907189865</v>
      </c>
      <c r="D340" s="7">
        <f t="shared" si="33"/>
        <v>1033.6595399438431</v>
      </c>
      <c r="E340" s="7">
        <f t="shared" si="33"/>
        <v>780.93491658261541</v>
      </c>
      <c r="F340" s="7">
        <f t="shared" si="33"/>
        <v>521.66521666107099</v>
      </c>
      <c r="G340" s="7">
        <f t="shared" si="33"/>
        <v>257.99325934080741</v>
      </c>
      <c r="H340" s="7">
        <f t="shared" si="33"/>
        <v>1051.6168166696857</v>
      </c>
      <c r="I340" s="7">
        <f t="shared" si="33"/>
        <v>1153.0539920034162</v>
      </c>
      <c r="J340" s="7">
        <f t="shared" si="33"/>
        <v>1278.8213907189865</v>
      </c>
      <c r="K340" s="7">
        <f t="shared" si="33"/>
        <v>1403.3554594076843</v>
      </c>
      <c r="L340" s="7">
        <f t="shared" si="33"/>
        <v>1273.8136868801819</v>
      </c>
    </row>
    <row r="341" spans="2:12" x14ac:dyDescent="0.3">
      <c r="B341">
        <f t="shared" si="31"/>
        <v>90</v>
      </c>
      <c r="C341" s="7">
        <f t="shared" si="33"/>
        <v>1286.0678959858183</v>
      </c>
      <c r="D341" s="7">
        <f t="shared" si="33"/>
        <v>1039.8148002205123</v>
      </c>
      <c r="E341" s="7">
        <f t="shared" si="33"/>
        <v>785.79449306336221</v>
      </c>
      <c r="F341" s="7">
        <f t="shared" si="33"/>
        <v>525.03610532694188</v>
      </c>
      <c r="G341" s="7">
        <f t="shared" si="33"/>
        <v>259.70653279264292</v>
      </c>
      <c r="H341" s="7">
        <f t="shared" si="33"/>
        <v>1055.4608761230713</v>
      </c>
      <c r="I341" s="7">
        <f t="shared" si="33"/>
        <v>1158.4153884486823</v>
      </c>
      <c r="J341" s="7">
        <f t="shared" si="33"/>
        <v>1286.0678959858183</v>
      </c>
      <c r="K341" s="7">
        <f t="shared" si="33"/>
        <v>1412.4732158648014</v>
      </c>
      <c r="L341" s="7">
        <f t="shared" si="33"/>
        <v>1280.985046132113</v>
      </c>
    </row>
    <row r="342" spans="2:12" x14ac:dyDescent="0.3">
      <c r="B342">
        <f t="shared" si="31"/>
        <v>91</v>
      </c>
      <c r="C342" s="7">
        <f t="shared" si="33"/>
        <v>1292.5559649543729</v>
      </c>
      <c r="D342" s="7">
        <f t="shared" si="33"/>
        <v>1045.3686209622526</v>
      </c>
      <c r="E342" s="7">
        <f t="shared" si="33"/>
        <v>790.20697202068698</v>
      </c>
      <c r="F342" s="7">
        <f t="shared" si="33"/>
        <v>528.11158372905606</v>
      </c>
      <c r="G342" s="7">
        <f t="shared" si="33"/>
        <v>261.27342848854471</v>
      </c>
      <c r="H342" s="7">
        <f t="shared" si="33"/>
        <v>1058.4370365105829</v>
      </c>
      <c r="I342" s="7">
        <f t="shared" si="33"/>
        <v>1162.9575359282351</v>
      </c>
      <c r="J342" s="7">
        <f t="shared" si="33"/>
        <v>1292.5559649543729</v>
      </c>
      <c r="K342" s="7">
        <f t="shared" si="33"/>
        <v>1420.8933486934168</v>
      </c>
      <c r="L342" s="7">
        <f t="shared" si="33"/>
        <v>1287.3955365789825</v>
      </c>
    </row>
    <row r="343" spans="2:12" x14ac:dyDescent="0.3">
      <c r="B343">
        <f t="shared" si="31"/>
        <v>92</v>
      </c>
      <c r="C343" s="7">
        <f t="shared" si="33"/>
        <v>1298.1225985451954</v>
      </c>
      <c r="D343" s="7">
        <f t="shared" si="33"/>
        <v>1050.1906029055044</v>
      </c>
      <c r="E343" s="7">
        <f t="shared" si="33"/>
        <v>794.07455400692425</v>
      </c>
      <c r="F343" s="7">
        <f t="shared" si="33"/>
        <v>530.82645223564225</v>
      </c>
      <c r="G343" s="7">
        <f t="shared" si="33"/>
        <v>262.66134661263607</v>
      </c>
      <c r="H343" s="7">
        <f t="shared" si="33"/>
        <v>1060.3576971954346</v>
      </c>
      <c r="I343" s="7">
        <f t="shared" si="33"/>
        <v>1166.5037678237288</v>
      </c>
      <c r="J343" s="7">
        <f t="shared" si="33"/>
        <v>1298.1225985451954</v>
      </c>
      <c r="K343" s="7">
        <f t="shared" si="33"/>
        <v>1428.4665263538427</v>
      </c>
      <c r="L343" s="7">
        <f t="shared" si="33"/>
        <v>1292.8816124397479</v>
      </c>
    </row>
    <row r="344" spans="2:12" x14ac:dyDescent="0.3">
      <c r="B344">
        <f t="shared" si="31"/>
        <v>93</v>
      </c>
      <c r="C344" s="7">
        <f t="shared" si="33"/>
        <v>1302.5403712877121</v>
      </c>
      <c r="D344" s="7">
        <f t="shared" si="33"/>
        <v>1054.0988056738131</v>
      </c>
      <c r="E344" s="7">
        <f t="shared" si="33"/>
        <v>797.26078373974053</v>
      </c>
      <c r="F344" s="7">
        <f t="shared" si="33"/>
        <v>533.08974065848747</v>
      </c>
      <c r="G344" s="7">
        <f t="shared" si="33"/>
        <v>263.82480207082438</v>
      </c>
      <c r="H344" s="7">
        <f t="shared" si="33"/>
        <v>1060.9611072350215</v>
      </c>
      <c r="I344" s="7">
        <f t="shared" si="33"/>
        <v>1168.8075889468435</v>
      </c>
      <c r="J344" s="7">
        <f t="shared" si="33"/>
        <v>1302.5403712877121</v>
      </c>
      <c r="K344" s="7">
        <f t="shared" si="33"/>
        <v>1434.9843930946286</v>
      </c>
      <c r="L344" s="7">
        <f t="shared" si="33"/>
        <v>1297.2150854550734</v>
      </c>
    </row>
    <row r="345" spans="2:12" x14ac:dyDescent="0.3">
      <c r="B345">
        <f t="shared" si="31"/>
        <v>94</v>
      </c>
      <c r="C345" s="7">
        <f t="shared" si="33"/>
        <v>1305.4778196421687</v>
      </c>
      <c r="D345" s="7">
        <f t="shared" si="33"/>
        <v>1056.8280584353863</v>
      </c>
      <c r="E345" s="7">
        <f t="shared" si="33"/>
        <v>799.56678309530275</v>
      </c>
      <c r="F345" s="7">
        <f t="shared" si="33"/>
        <v>534.76886358171828</v>
      </c>
      <c r="G345" s="7">
        <f t="shared" si="33"/>
        <v>264.69750215519673</v>
      </c>
      <c r="H345" s="7">
        <f t="shared" si="33"/>
        <v>1059.8657750897944</v>
      </c>
      <c r="I345" s="7">
        <f t="shared" si="33"/>
        <v>1169.5097424061701</v>
      </c>
      <c r="J345" s="7">
        <f t="shared" si="33"/>
        <v>1305.4778196421687</v>
      </c>
      <c r="K345" s="7">
        <f t="shared" si="33"/>
        <v>1440.1432787299746</v>
      </c>
      <c r="L345" s="7">
        <f t="shared" si="33"/>
        <v>1300.0633803510557</v>
      </c>
    </row>
    <row r="346" spans="2:12" x14ac:dyDescent="0.3">
      <c r="B346">
        <f t="shared" si="31"/>
        <v>95</v>
      </c>
      <c r="C346" s="7">
        <f t="shared" si="33"/>
        <v>1306.4235804901296</v>
      </c>
      <c r="D346" s="7">
        <f t="shared" si="33"/>
        <v>1057.9692706954906</v>
      </c>
      <c r="E346" s="7">
        <f t="shared" si="33"/>
        <v>800.68573420258247</v>
      </c>
      <c r="F346" s="7">
        <f t="shared" si="33"/>
        <v>535.65927575801049</v>
      </c>
      <c r="G346" s="7">
        <f t="shared" si="33"/>
        <v>265.17717424213271</v>
      </c>
      <c r="H346" s="7">
        <f t="shared" si="33"/>
        <v>1056.4831572949802</v>
      </c>
      <c r="I346" s="7">
        <f t="shared" si="33"/>
        <v>1168.0559870798986</v>
      </c>
      <c r="J346" s="7">
        <f t="shared" si="33"/>
        <v>1306.4235804901296</v>
      </c>
      <c r="K346" s="7">
        <f t="shared" si="33"/>
        <v>1443.4746981489511</v>
      </c>
      <c r="L346" s="7">
        <f t="shared" si="33"/>
        <v>1300.9134188889691</v>
      </c>
    </row>
    <row r="347" spans="2:12" x14ac:dyDescent="0.3">
      <c r="B347">
        <f t="shared" si="31"/>
        <v>96</v>
      </c>
      <c r="C347" s="7">
        <f t="shared" si="33"/>
        <v>1304.5252145660597</v>
      </c>
      <c r="D347" s="7">
        <f t="shared" si="33"/>
        <v>1056.840491041733</v>
      </c>
      <c r="E347" s="7">
        <f t="shared" si="33"/>
        <v>800.10617350232621</v>
      </c>
      <c r="F347" s="7">
        <f t="shared" si="33"/>
        <v>535.42000148125157</v>
      </c>
      <c r="G347" s="7">
        <f t="shared" si="33"/>
        <v>265.09333047865994</v>
      </c>
      <c r="H347" s="7">
        <f t="shared" si="33"/>
        <v>1049.8321554308945</v>
      </c>
      <c r="I347" s="7">
        <f t="shared" si="33"/>
        <v>1163.5224063282622</v>
      </c>
      <c r="J347" s="7">
        <f t="shared" si="33"/>
        <v>1304.5252145660597</v>
      </c>
      <c r="K347" s="7">
        <f t="shared" si="33"/>
        <v>1444.1976894685261</v>
      </c>
      <c r="L347" s="7">
        <f t="shared" si="33"/>
        <v>1298.909902708004</v>
      </c>
    </row>
    <row r="348" spans="2:12" x14ac:dyDescent="0.3">
      <c r="B348">
        <f t="shared" si="31"/>
        <v>97</v>
      </c>
      <c r="C348" s="7">
        <f t="shared" ref="C348:L351" si="34">C144*C246</f>
        <v>1298.1927277944671</v>
      </c>
      <c r="D348" s="7">
        <f t="shared" si="34"/>
        <v>1052.1697242137975</v>
      </c>
      <c r="E348" s="7">
        <f t="shared" si="34"/>
        <v>796.87410454939538</v>
      </c>
      <c r="F348" s="7">
        <f t="shared" si="34"/>
        <v>533.41504312147947</v>
      </c>
      <c r="G348" s="7">
        <f t="shared" si="34"/>
        <v>264.12797204999384</v>
      </c>
      <c r="H348" s="7">
        <f t="shared" si="34"/>
        <v>1038.0827967544635</v>
      </c>
      <c r="I348" s="7">
        <f t="shared" si="34"/>
        <v>1154.1856844389108</v>
      </c>
      <c r="J348" s="7">
        <f t="shared" si="34"/>
        <v>1298.1927277944671</v>
      </c>
      <c r="K348" s="7">
        <f t="shared" si="34"/>
        <v>1440.8555802693568</v>
      </c>
      <c r="L348" s="7">
        <f t="shared" si="34"/>
        <v>1292.4575048664778</v>
      </c>
    </row>
    <row r="349" spans="2:12" x14ac:dyDescent="0.3">
      <c r="B349">
        <f t="shared" si="31"/>
        <v>98</v>
      </c>
      <c r="C349" s="7">
        <f t="shared" si="34"/>
        <v>1283.8749493992925</v>
      </c>
      <c r="D349" s="7">
        <f t="shared" si="34"/>
        <v>1041.1160335910724</v>
      </c>
      <c r="E349" s="7">
        <f t="shared" si="34"/>
        <v>788.85882487862489</v>
      </c>
      <c r="F349" s="7">
        <f t="shared" si="34"/>
        <v>528.22393236897676</v>
      </c>
      <c r="G349" s="7">
        <f t="shared" si="34"/>
        <v>261.57086480186382</v>
      </c>
      <c r="H349" s="7">
        <f t="shared" si="34"/>
        <v>1017.1479306004824</v>
      </c>
      <c r="I349" s="7">
        <f t="shared" si="34"/>
        <v>1136.1968835661021</v>
      </c>
      <c r="J349" s="7">
        <f t="shared" si="34"/>
        <v>1283.8749493992925</v>
      </c>
      <c r="K349" s="7">
        <f t="shared" si="34"/>
        <v>1430.1949669029502</v>
      </c>
      <c r="L349" s="7">
        <f t="shared" si="34"/>
        <v>1277.9931439034012</v>
      </c>
    </row>
    <row r="350" spans="2:12" x14ac:dyDescent="0.3">
      <c r="B350">
        <f t="shared" si="31"/>
        <v>99</v>
      </c>
      <c r="C350" s="7">
        <f t="shared" si="34"/>
        <v>1250.3024285648678</v>
      </c>
      <c r="D350" s="7">
        <f t="shared" si="34"/>
        <v>1014.6638585221997</v>
      </c>
      <c r="E350" s="7">
        <f t="shared" si="34"/>
        <v>769.29866400296748</v>
      </c>
      <c r="F350" s="7">
        <f t="shared" si="34"/>
        <v>515.33888890100582</v>
      </c>
      <c r="G350" s="7">
        <f t="shared" si="34"/>
        <v>255.16811857584264</v>
      </c>
      <c r="H350" s="7">
        <f t="shared" si="34"/>
        <v>974.05720431918257</v>
      </c>
      <c r="I350" s="7">
        <f t="shared" si="34"/>
        <v>1097.3416051077663</v>
      </c>
      <c r="J350" s="7">
        <f t="shared" si="34"/>
        <v>1250.3024285648678</v>
      </c>
      <c r="K350" s="7">
        <f t="shared" si="34"/>
        <v>1401.891346629445</v>
      </c>
      <c r="L350" s="7">
        <f t="shared" si="34"/>
        <v>1244.2095710809269</v>
      </c>
    </row>
    <row r="351" spans="2:12" x14ac:dyDescent="0.3">
      <c r="B351">
        <f t="shared" si="31"/>
        <v>100</v>
      </c>
      <c r="C351" s="7">
        <f t="shared" si="34"/>
        <v>-165.9219901142105</v>
      </c>
      <c r="D351" s="7">
        <f t="shared" si="34"/>
        <v>-106.1900736730947</v>
      </c>
      <c r="E351" s="7">
        <f t="shared" si="34"/>
        <v>-59.733179300109498</v>
      </c>
      <c r="F351" s="7">
        <f t="shared" si="34"/>
        <v>-26.547518418273675</v>
      </c>
      <c r="G351" s="7">
        <f t="shared" si="34"/>
        <v>-6.6368796045684189</v>
      </c>
      <c r="H351" s="7">
        <f t="shared" si="34"/>
        <v>-165.9219901142105</v>
      </c>
      <c r="I351" s="7">
        <f t="shared" si="34"/>
        <v>-165.9219901142105</v>
      </c>
      <c r="J351" s="7">
        <f t="shared" si="34"/>
        <v>-165.9219901142105</v>
      </c>
      <c r="K351" s="7">
        <f t="shared" si="34"/>
        <v>-165.9219901142105</v>
      </c>
      <c r="L351" s="7">
        <f t="shared" si="34"/>
        <v>-165.9219901142105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modulenr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Hirlav</cp:lastModifiedBy>
  <dcterms:created xsi:type="dcterms:W3CDTF">2015-06-05T18:17:20Z</dcterms:created>
  <dcterms:modified xsi:type="dcterms:W3CDTF">2026-01-22T14:13:20Z</dcterms:modified>
</cp:coreProperties>
</file>